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Finance\FinanceTool\import\"/>
    </mc:Choice>
  </mc:AlternateContent>
  <xr:revisionPtr revIDLastSave="0" documentId="13_ncr:1_{8D57EC8F-2FE3-4D65-A8FF-ECA3BCBA25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Juni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8" i="1" l="1"/>
  <c r="F128" i="1" s="1"/>
  <c r="G127" i="1"/>
  <c r="F127" i="1" s="1"/>
  <c r="G126" i="1"/>
  <c r="F126" i="1" s="1"/>
  <c r="G125" i="1"/>
  <c r="F125" i="1" s="1"/>
  <c r="G124" i="1"/>
  <c r="F124" i="1" s="1"/>
  <c r="G123" i="1"/>
  <c r="F123" i="1"/>
  <c r="G122" i="1"/>
  <c r="F122" i="1"/>
  <c r="G121" i="1"/>
  <c r="F121" i="1" s="1"/>
  <c r="G120" i="1"/>
  <c r="F120" i="1" s="1"/>
  <c r="G119" i="1"/>
  <c r="G131" i="1" s="1"/>
  <c r="F119" i="1"/>
  <c r="F131" i="1"/>
  <c r="E131" i="1" s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F96" i="1"/>
  <c r="I96" i="1" s="1"/>
  <c r="I95" i="1"/>
  <c r="H95" i="1"/>
  <c r="G95" i="1"/>
  <c r="F95" i="1"/>
  <c r="I94" i="1"/>
  <c r="H94" i="1"/>
  <c r="G94" i="1"/>
  <c r="Z93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H85" i="1"/>
  <c r="I85" i="1"/>
  <c r="I84" i="1"/>
  <c r="H84" i="1"/>
  <c r="G84" i="1"/>
  <c r="I83" i="1"/>
  <c r="H83" i="1"/>
  <c r="G83" i="1"/>
  <c r="I82" i="1"/>
  <c r="H82" i="1"/>
  <c r="G82" i="1"/>
  <c r="I81" i="1"/>
  <c r="H81" i="1"/>
  <c r="G81" i="1"/>
  <c r="J81" i="1" s="1"/>
  <c r="Z80" i="1"/>
  <c r="Z85" i="1" s="1"/>
  <c r="Y75" i="1"/>
  <c r="W75" i="1"/>
  <c r="V75" i="1"/>
  <c r="U75" i="1"/>
  <c r="T75" i="1"/>
  <c r="S75" i="1"/>
  <c r="R75" i="1"/>
  <c r="O75" i="1"/>
  <c r="N75" i="1"/>
  <c r="M75" i="1"/>
  <c r="L75" i="1"/>
  <c r="J75" i="1"/>
  <c r="I75" i="1"/>
  <c r="G75" i="1"/>
  <c r="F75" i="1"/>
  <c r="E75" i="1"/>
  <c r="D75" i="1"/>
  <c r="C75" i="1"/>
  <c r="T53" i="1"/>
  <c r="M26" i="1"/>
  <c r="X24" i="1"/>
  <c r="P24" i="1" s="1"/>
  <c r="P75" i="1" s="1"/>
  <c r="H21" i="1"/>
  <c r="H75" i="1" s="1"/>
  <c r="K15" i="1"/>
  <c r="K75" i="1" s="1"/>
  <c r="Q8" i="1"/>
  <c r="Q7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AA86" i="1" s="1"/>
  <c r="H96" i="1" l="1"/>
  <c r="J82" i="1"/>
  <c r="J83" i="1" s="1"/>
  <c r="J84" i="1" s="1"/>
  <c r="I114" i="1"/>
  <c r="H114" i="1"/>
  <c r="G114" i="1" s="1"/>
  <c r="H119" i="1"/>
  <c r="H120" i="1" s="1"/>
  <c r="H121" i="1" s="1"/>
  <c r="H122" i="1" s="1"/>
  <c r="H123" i="1" s="1"/>
  <c r="H124" i="1" s="1"/>
  <c r="H125" i="1" s="1"/>
  <c r="H126" i="1" s="1"/>
  <c r="H127" i="1" s="1"/>
  <c r="H128" i="1" s="1"/>
  <c r="H131" i="1" s="1"/>
  <c r="X75" i="1"/>
  <c r="Z75" i="1" s="1"/>
  <c r="G85" i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G96" i="1"/>
  <c r="J96" i="1" l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</author>
  </authors>
  <commentList>
    <comment ref="I1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Simon:
Gesamtwert mit Zukäufen</t>
        </r>
      </text>
    </comment>
    <comment ref="J1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Simon:
Gesamtwert ohne Zukäufe
(nur Kurswertzuwachs)</t>
        </r>
      </text>
    </comment>
    <comment ref="G13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Simon:
Gesamtwert mit Zukäufen</t>
        </r>
      </text>
    </comment>
    <comment ref="H13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 xml:space="preserve">Simon:
Gesamtwert ohne Zukäufe
(nur Entwertung)
</t>
        </r>
      </text>
    </comment>
  </commentList>
</comments>
</file>

<file path=xl/sharedStrings.xml><?xml version="1.0" encoding="utf-8"?>
<sst xmlns="http://schemas.openxmlformats.org/spreadsheetml/2006/main" count="195" uniqueCount="180">
  <si>
    <t>Kostenüberschlag</t>
  </si>
  <si>
    <t>Einnahmen</t>
  </si>
  <si>
    <t>Sicherheit und Bildung</t>
  </si>
  <si>
    <t>Investment</t>
  </si>
  <si>
    <t>Hobby und Freizeit</t>
  </si>
  <si>
    <t>Wohnen &amp; Leben</t>
  </si>
  <si>
    <t>Mobilität</t>
  </si>
  <si>
    <t>Nr.</t>
  </si>
  <si>
    <t>Bezeichnung</t>
  </si>
  <si>
    <t>Gehalt</t>
  </si>
  <si>
    <t>Bargeld</t>
  </si>
  <si>
    <t>Versicherung</t>
  </si>
  <si>
    <t>Behörden</t>
  </si>
  <si>
    <t>Gesundheit</t>
  </si>
  <si>
    <t>Bildung/Beruf</t>
  </si>
  <si>
    <t>Costs</t>
  </si>
  <si>
    <t>Long-Pos</t>
  </si>
  <si>
    <t>Sell/+Profit</t>
  </si>
  <si>
    <t>Hobby</t>
  </si>
  <si>
    <t>Gastro/Event</t>
  </si>
  <si>
    <t>Abos</t>
  </si>
  <si>
    <t>Lifestyle</t>
  </si>
  <si>
    <t>Kosten</t>
  </si>
  <si>
    <t>Einrichtung</t>
  </si>
  <si>
    <t>Lebensmittel</t>
  </si>
  <si>
    <t>KFZ Betrieb</t>
  </si>
  <si>
    <t>KFZ Laden</t>
  </si>
  <si>
    <t>ÖPNV/Taxi</t>
  </si>
  <si>
    <t>Geschenke</t>
  </si>
  <si>
    <t>"Darlehn"</t>
  </si>
  <si>
    <t>Sonstiges</t>
  </si>
  <si>
    <t>Cash</t>
  </si>
  <si>
    <t>Anfangskapital</t>
  </si>
  <si>
    <t>Sample Bank</t>
  </si>
  <si>
    <t>Expense 01</t>
  </si>
  <si>
    <t>Expense 02</t>
  </si>
  <si>
    <t>Expense 03</t>
  </si>
  <si>
    <t>Expense 04</t>
  </si>
  <si>
    <t>Expense 05</t>
  </si>
  <si>
    <t>Expense 06</t>
  </si>
  <si>
    <t>Expense 07</t>
  </si>
  <si>
    <t>Expense 08</t>
  </si>
  <si>
    <t>Expense 09</t>
  </si>
  <si>
    <t>Expense 10</t>
  </si>
  <si>
    <t>Expense 11</t>
  </si>
  <si>
    <t>Sample Broker</t>
  </si>
  <si>
    <t>Expense 12</t>
  </si>
  <si>
    <t>Expense 13</t>
  </si>
  <si>
    <t>Expense 14</t>
  </si>
  <si>
    <t>Expense 15</t>
  </si>
  <si>
    <t>Expense 16</t>
  </si>
  <si>
    <t>Expense 17</t>
  </si>
  <si>
    <t>Expense 18</t>
  </si>
  <si>
    <t>Expense 19</t>
  </si>
  <si>
    <t>Expense 20</t>
  </si>
  <si>
    <t>Expense 21</t>
  </si>
  <si>
    <t>Expense 22</t>
  </si>
  <si>
    <t>Expense 23</t>
  </si>
  <si>
    <t>Expense 24</t>
  </si>
  <si>
    <t>Expense 25</t>
  </si>
  <si>
    <t>Expense 26</t>
  </si>
  <si>
    <t>Expense 27</t>
  </si>
  <si>
    <t>Expense 28</t>
  </si>
  <si>
    <t>Expense 29</t>
  </si>
  <si>
    <t>Expense 30</t>
  </si>
  <si>
    <t>Expense 31</t>
  </si>
  <si>
    <t>Expense 32</t>
  </si>
  <si>
    <t>Expense 33</t>
  </si>
  <si>
    <t>Expense 34</t>
  </si>
  <si>
    <t>Expense 35</t>
  </si>
  <si>
    <t>Expense 36</t>
  </si>
  <si>
    <t>Expense 37</t>
  </si>
  <si>
    <t>Expense 38</t>
  </si>
  <si>
    <t>Expense 39</t>
  </si>
  <si>
    <t>Expense 40</t>
  </si>
  <si>
    <t>Expense 41</t>
  </si>
  <si>
    <t>Expense 42</t>
  </si>
  <si>
    <t>Expense 43</t>
  </si>
  <si>
    <t>Expense 44</t>
  </si>
  <si>
    <t>Expense 45</t>
  </si>
  <si>
    <t>Expense 46</t>
  </si>
  <si>
    <t>Expense 47</t>
  </si>
  <si>
    <t>Expense 48</t>
  </si>
  <si>
    <t>Expense 49</t>
  </si>
  <si>
    <t>Expense 50</t>
  </si>
  <si>
    <t>Expense 51</t>
  </si>
  <si>
    <t>Expense 52</t>
  </si>
  <si>
    <t>Expense 53</t>
  </si>
  <si>
    <t>Expense 54</t>
  </si>
  <si>
    <t>Expense 55</t>
  </si>
  <si>
    <t>Expense 56</t>
  </si>
  <si>
    <t>Expense 57</t>
  </si>
  <si>
    <t>Expense 58</t>
  </si>
  <si>
    <t>Expense 59</t>
  </si>
  <si>
    <t>Expense 60</t>
  </si>
  <si>
    <t>Expense 61</t>
  </si>
  <si>
    <t>Expense 62</t>
  </si>
  <si>
    <t>Bilanz:</t>
  </si>
  <si>
    <t>Depot / Wallet</t>
  </si>
  <si>
    <t>WKN/SYMB</t>
  </si>
  <si>
    <t>Stück</t>
  </si>
  <si>
    <t>Kurs alt</t>
  </si>
  <si>
    <t>Kurs</t>
  </si>
  <si>
    <t>Δ [€]</t>
  </si>
  <si>
    <t>Δ [%]</t>
  </si>
  <si>
    <t>Gesamtwert</t>
  </si>
  <si>
    <t>Depotwert</t>
  </si>
  <si>
    <t>Kontostandkontrolle:</t>
  </si>
  <si>
    <t>Kaufwert</t>
  </si>
  <si>
    <t>Account 01</t>
  </si>
  <si>
    <t>Asset 01</t>
  </si>
  <si>
    <t>TKR001</t>
  </si>
  <si>
    <t>Account 02</t>
  </si>
  <si>
    <t>Asset 02</t>
  </si>
  <si>
    <t>TKR002</t>
  </si>
  <si>
    <t>Account 03</t>
  </si>
  <si>
    <t>Asset 03</t>
  </si>
  <si>
    <t>TKR003</t>
  </si>
  <si>
    <t>Account 04</t>
  </si>
  <si>
    <t>Asset 04</t>
  </si>
  <si>
    <t>TKR004</t>
  </si>
  <si>
    <t>Asset 05</t>
  </si>
  <si>
    <t>TKR005</t>
  </si>
  <si>
    <t>Summe:</t>
  </si>
  <si>
    <t>Diff</t>
  </si>
  <si>
    <t>Asset 06</t>
  </si>
  <si>
    <t>Asset 07</t>
  </si>
  <si>
    <t>Asset 08</t>
  </si>
  <si>
    <t>TKR008</t>
  </si>
  <si>
    <t>Asset 09</t>
  </si>
  <si>
    <t>Asset 10</t>
  </si>
  <si>
    <t>Asset 11</t>
  </si>
  <si>
    <t>Asset 12</t>
  </si>
  <si>
    <t>TKR012</t>
  </si>
  <si>
    <t>Asset 13</t>
  </si>
  <si>
    <t>Asset 14</t>
  </si>
  <si>
    <t>Asset 15</t>
  </si>
  <si>
    <t>TKR015</t>
  </si>
  <si>
    <t>Value 96B</t>
  </si>
  <si>
    <t>Value 97B</t>
  </si>
  <si>
    <t>Value 98B</t>
  </si>
  <si>
    <t>Value 99B</t>
  </si>
  <si>
    <t>Bilanz [%]:</t>
  </si>
  <si>
    <t>Bilanz [€]:</t>
  </si>
  <si>
    <t>Wert [€]:</t>
  </si>
  <si>
    <t>Δ-Wert [€]:</t>
  </si>
  <si>
    <t>Sachwerte / Abschreibung</t>
  </si>
  <si>
    <t>Abschreib.</t>
  </si>
  <si>
    <t>Wert alt</t>
  </si>
  <si>
    <t>Bilanz</t>
  </si>
  <si>
    <t>Wert</t>
  </si>
  <si>
    <t>Sachwerte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</si>
  <si>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</si>
  <si>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</si>
  <si>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</si>
  <si>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</si>
  <si>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</si>
  <si>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</si>
  <si>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</si>
  <si>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</si>
  <si>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Account</t>
  </si>
  <si>
    <t>Broker</t>
  </si>
  <si>
    <t>Expense 63</t>
  </si>
  <si>
    <t>Expense 64</t>
  </si>
  <si>
    <t>Expense 65</t>
  </si>
  <si>
    <t>Expense 66</t>
  </si>
  <si>
    <t>Expense 67</t>
  </si>
  <si>
    <t>Expense 68</t>
  </si>
  <si>
    <t>TKR006</t>
  </si>
  <si>
    <t>TKR007</t>
  </si>
  <si>
    <t>TKR009</t>
  </si>
  <si>
    <t>TKR010</t>
  </si>
  <si>
    <t>TKR011</t>
  </si>
  <si>
    <t>TKR013</t>
  </si>
  <si>
    <t>TKR014</t>
  </si>
  <si>
    <t>Value 96C</t>
  </si>
  <si>
    <t>Festgeld:</t>
  </si>
  <si>
    <t>Account 05</t>
  </si>
  <si>
    <t>Account 06</t>
  </si>
  <si>
    <t>Account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</si>
</sst>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##0.00\ %;[Red]\ \-###0.00\ %"/>
    <numFmt numFmtId="165" formatCode="0\ &quot;Jahre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dashDot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dashDot">
        <color indexed="64"/>
      </left>
      <right style="dashDot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2" fillId="0" borderId="9" xfId="0" applyFont="1" applyBorder="1" applyAlignment="1">
      <alignment horizontal="center" vertical="center" wrapText="1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left"/>
    </xf>
    <xf numFmtId="0" fontId="3" fillId="0" borderId="0" xfId="0" applyFont="1"/>
    <xf numFmtId="0" fontId="0" fillId="0" borderId="13" xfId="0" applyBorder="1"/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8" fontId="0" fillId="0" borderId="7" xfId="0" applyNumberFormat="1" applyBorder="1"/>
    <xf numFmtId="8" fontId="0" fillId="0" borderId="8" xfId="0" applyNumberFormat="1" applyBorder="1"/>
    <xf numFmtId="8" fontId="0" fillId="0" borderId="13" xfId="0" applyNumberFormat="1" applyBorder="1"/>
    <xf numFmtId="8" fontId="0" fillId="0" borderId="14" xfId="0" applyNumberFormat="1" applyBorder="1"/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164" fontId="0" fillId="0" borderId="13" xfId="0" applyNumberFormat="1" applyBorder="1" applyAlignment="1">
      <alignment horizontal="right"/>
    </xf>
    <xf numFmtId="165" fontId="0" fillId="0" borderId="0" xfId="0" applyNumberFormat="1"/>
    <xf numFmtId="0" fontId="0" fillId="0" borderId="18" xfId="0" applyBorder="1" applyAlignment="1">
      <alignment horizontal="center"/>
    </xf>
    <xf numFmtId="8" fontId="0" fillId="0" borderId="0" xfId="0" applyNumberFormat="1"/>
    <xf numFmtId="0" fontId="0" fillId="0" borderId="1" xfId="0" applyBorder="1"/>
    <xf numFmtId="0" fontId="1" fillId="0" borderId="17" xfId="0" applyFont="1" applyBorder="1" applyAlignment="1">
      <alignment horizontal="center" vertical="center" textRotation="255" wrapText="1"/>
    </xf>
    <xf numFmtId="0" fontId="0" fillId="0" borderId="0" xfId="0"/>
    <xf numFmtId="0" fontId="0" fillId="0" borderId="11" xfId="0" applyBorder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1"/>
  <sheetViews>
    <sheetView tabSelected="1" workbookViewId="0">
      <pane ySplit="3" topLeftCell="A73" activePane="bottomLeft" state="frozen"/>
      <selection pane="bottomLeft" activeCell="Q98" sqref="Q98"/>
    </sheetView>
  </sheetViews>
  <sheetFormatPr baseColWidth="10" defaultColWidth="9.140625" defaultRowHeight="15" x14ac:dyDescent="0.25"/>
  <cols>
    <col min="1" max="1" width="4.7109375" style="9" customWidth="1"/>
    <col min="2" max="2" width="36" style="17" customWidth="1"/>
    <col min="3" max="8" width="11.7109375" style="19" customWidth="1"/>
    <col min="9" max="9" width="12.85546875" style="19" customWidth="1"/>
    <col min="10" max="18" width="11.7109375" style="19" customWidth="1"/>
    <col min="19" max="19" width="11.7109375" style="17" customWidth="1"/>
    <col min="20" max="24" width="11.7109375" style="19" customWidth="1"/>
    <col min="25" max="26" width="11.7109375" style="17" customWidth="1"/>
    <col min="28" max="28" width="10.7109375" style="17" customWidth="1"/>
  </cols>
  <sheetData>
    <row r="1" spans="1:27" x14ac:dyDescent="0.25">
      <c r="B1" t="s">
        <v>0</v>
      </c>
    </row>
    <row r="2" spans="1:27" x14ac:dyDescent="0.25">
      <c r="C2" s="30" t="s">
        <v>1</v>
      </c>
      <c r="D2" s="31"/>
      <c r="E2" s="32"/>
      <c r="F2" s="30" t="s">
        <v>2</v>
      </c>
      <c r="G2" s="31"/>
      <c r="H2" s="31"/>
      <c r="I2" s="32"/>
      <c r="J2" s="30" t="s">
        <v>3</v>
      </c>
      <c r="K2" s="31"/>
      <c r="L2" s="32"/>
      <c r="M2" s="30" t="s">
        <v>4</v>
      </c>
      <c r="N2" s="31"/>
      <c r="O2" s="31"/>
      <c r="P2" s="32"/>
      <c r="Q2" s="30" t="s">
        <v>5</v>
      </c>
      <c r="R2" s="31"/>
      <c r="S2" s="32"/>
      <c r="T2" s="30" t="s">
        <v>6</v>
      </c>
      <c r="U2" s="31"/>
      <c r="V2" s="32"/>
      <c r="W2" s="18"/>
    </row>
    <row r="3" spans="1:27" s="18" customFormat="1" ht="15.75" customHeight="1" thickBot="1" x14ac:dyDescent="0.3">
      <c r="A3" s="1" t="s">
        <v>7</v>
      </c>
      <c r="B3" s="2" t="s">
        <v>8</v>
      </c>
      <c r="C3" s="3" t="s">
        <v>9</v>
      </c>
      <c r="D3" s="2" t="s">
        <v>1</v>
      </c>
      <c r="E3" s="4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3" t="s">
        <v>15</v>
      </c>
      <c r="K3" s="5" t="s">
        <v>16</v>
      </c>
      <c r="L3" s="6" t="s">
        <v>17</v>
      </c>
      <c r="M3" s="3" t="s">
        <v>18</v>
      </c>
      <c r="N3" s="2" t="s">
        <v>19</v>
      </c>
      <c r="O3" s="2" t="s">
        <v>20</v>
      </c>
      <c r="P3" s="4" t="s">
        <v>21</v>
      </c>
      <c r="Q3" s="3" t="s">
        <v>22</v>
      </c>
      <c r="R3" s="2" t="s">
        <v>23</v>
      </c>
      <c r="S3" s="4" t="s">
        <v>24</v>
      </c>
      <c r="T3" s="3" t="s">
        <v>25</v>
      </c>
      <c r="U3" s="2" t="s">
        <v>26</v>
      </c>
      <c r="V3" s="4" t="s">
        <v>27</v>
      </c>
      <c r="W3" s="2" t="s">
        <v>28</v>
      </c>
      <c r="X3" s="5" t="s">
        <v>29</v>
      </c>
      <c r="Y3" s="2" t="s">
        <v>30</v>
      </c>
      <c r="Z3" s="2" t="s">
        <v>31</v>
      </c>
    </row>
    <row r="4" spans="1:27" ht="15.75" customHeight="1" thickTop="1" x14ac:dyDescent="0.25">
      <c r="A4" s="7"/>
      <c r="B4" s="8" t="s">
        <v>32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>
        <v>67954</v>
      </c>
      <c r="AA4" s="33" t="s">
        <v>33</v>
      </c>
    </row>
    <row r="5" spans="1:27" ht="15" customHeight="1" x14ac:dyDescent="0.25">
      <c r="A5" s="9">
        <v>1</v>
      </c>
      <c r="B5" t="s">
        <v>34</v>
      </c>
      <c r="S5" s="19"/>
      <c r="T5" s="19">
        <v>-32.83</v>
      </c>
      <c r="Y5" s="19"/>
      <c r="Z5" s="19">
        <f t="shared" ref="Z5:Z36" si="0">$Z4+(SUM(C5:Y5))</f>
        <v>67921.17</v>
      </c>
      <c r="AA5" s="34"/>
    </row>
    <row r="6" spans="1:27" ht="15" customHeight="1" x14ac:dyDescent="0.25">
      <c r="A6" s="9">
        <v>2</v>
      </c>
      <c r="B6" t="s">
        <v>35</v>
      </c>
      <c r="F6" s="19">
        <v>-34.75</v>
      </c>
      <c r="S6" s="19"/>
      <c r="Y6" s="19"/>
      <c r="Z6" s="19">
        <f t="shared" si="0"/>
        <v>67886.42</v>
      </c>
      <c r="AA6" s="34"/>
    </row>
    <row r="7" spans="1:27" ht="15" customHeight="1" x14ac:dyDescent="0.25">
      <c r="A7" s="9">
        <v>3</v>
      </c>
      <c r="B7" t="s">
        <v>36</v>
      </c>
      <c r="F7" s="19">
        <v>-30.09</v>
      </c>
      <c r="S7" s="19"/>
      <c r="Y7" s="19"/>
      <c r="Z7" s="19">
        <f t="shared" si="0"/>
        <v>67856.33</v>
      </c>
      <c r="AA7" s="34"/>
    </row>
    <row r="8" spans="1:27" ht="15" customHeight="1" x14ac:dyDescent="0.25">
      <c r="A8" s="9">
        <v>4</v>
      </c>
      <c r="B8" t="s">
        <v>37</v>
      </c>
      <c r="Q8" s="19">
        <f>-145-500</f>
        <v>-645</v>
      </c>
      <c r="S8" s="19"/>
      <c r="Y8" s="19"/>
      <c r="Z8" s="19">
        <f t="shared" si="0"/>
        <v>67211.33</v>
      </c>
      <c r="AA8" s="34"/>
    </row>
    <row r="9" spans="1:27" ht="15" customHeight="1" x14ac:dyDescent="0.25">
      <c r="A9" s="9">
        <v>5</v>
      </c>
      <c r="B9" t="s">
        <v>38</v>
      </c>
      <c r="O9" s="19">
        <v>76.28</v>
      </c>
      <c r="S9" s="19"/>
      <c r="Y9" s="19"/>
      <c r="Z9" s="19">
        <f t="shared" si="0"/>
        <v>67287.61</v>
      </c>
      <c r="AA9" s="34"/>
    </row>
    <row r="10" spans="1:27" ht="15" customHeight="1" x14ac:dyDescent="0.25">
      <c r="A10" s="9">
        <v>6</v>
      </c>
      <c r="B10" t="s">
        <v>39</v>
      </c>
      <c r="C10" s="19">
        <v>2830.09</v>
      </c>
      <c r="S10" s="19"/>
      <c r="Y10" s="19"/>
      <c r="Z10" s="19">
        <f t="shared" si="0"/>
        <v>70117.7</v>
      </c>
      <c r="AA10" s="34"/>
    </row>
    <row r="11" spans="1:27" ht="15" customHeight="1" x14ac:dyDescent="0.25">
      <c r="A11" s="9">
        <v>7</v>
      </c>
      <c r="B11" t="s">
        <v>40</v>
      </c>
      <c r="Q11" s="19">
        <v>-90.3</v>
      </c>
      <c r="S11" s="19"/>
      <c r="Y11" s="19"/>
      <c r="Z11" s="19">
        <f t="shared" si="0"/>
        <v>70027.399999999994</v>
      </c>
      <c r="AA11" s="34"/>
    </row>
    <row r="12" spans="1:27" ht="15" customHeight="1" x14ac:dyDescent="0.25">
      <c r="A12" s="9">
        <v>8</v>
      </c>
      <c r="B12" t="s">
        <v>41</v>
      </c>
      <c r="S12" s="19"/>
      <c r="X12" s="19">
        <v>-167.03</v>
      </c>
      <c r="Y12" s="19"/>
      <c r="Z12" s="19">
        <f t="shared" si="0"/>
        <v>69860.37</v>
      </c>
      <c r="AA12" s="34"/>
    </row>
    <row r="13" spans="1:27" ht="15" customHeight="1" x14ac:dyDescent="0.25">
      <c r="A13" s="9">
        <v>9</v>
      </c>
      <c r="B13" t="s">
        <v>42</v>
      </c>
      <c r="C13" s="19">
        <v>1092.9000000000001</v>
      </c>
      <c r="S13" s="19"/>
      <c r="Y13" s="19"/>
      <c r="Z13" s="19">
        <f t="shared" si="0"/>
        <v>70953.26999999999</v>
      </c>
      <c r="AA13" s="34"/>
    </row>
    <row r="14" spans="1:27" ht="15" customHeight="1" thickBot="1" x14ac:dyDescent="0.3">
      <c r="A14" s="9">
        <v>10</v>
      </c>
      <c r="B14" t="s">
        <v>43</v>
      </c>
      <c r="K14" s="19">
        <v>-12.68</v>
      </c>
      <c r="S14" s="19"/>
      <c r="Y14" s="19"/>
      <c r="Z14" s="19">
        <f t="shared" si="0"/>
        <v>70940.59</v>
      </c>
      <c r="AA14" s="35"/>
    </row>
    <row r="15" spans="1:27" ht="15" customHeight="1" thickTop="1" x14ac:dyDescent="0.25">
      <c r="A15" s="9">
        <v>11</v>
      </c>
      <c r="B15" t="s">
        <v>44</v>
      </c>
      <c r="K15" s="19">
        <f>-L15</f>
        <v>-29.68</v>
      </c>
      <c r="L15" s="19">
        <v>29.68</v>
      </c>
      <c r="S15" s="19"/>
      <c r="Y15" s="19"/>
      <c r="Z15" s="19">
        <f t="shared" si="0"/>
        <v>70940.59</v>
      </c>
      <c r="AA15" s="33" t="s">
        <v>45</v>
      </c>
    </row>
    <row r="16" spans="1:27" ht="15" customHeight="1" x14ac:dyDescent="0.25">
      <c r="A16" s="9">
        <v>12</v>
      </c>
      <c r="B16" t="s">
        <v>46</v>
      </c>
      <c r="L16" s="19">
        <v>55.48</v>
      </c>
      <c r="S16" s="19"/>
      <c r="Y16" s="19"/>
      <c r="Z16" s="19">
        <f t="shared" si="0"/>
        <v>70996.069999999992</v>
      </c>
      <c r="AA16" s="34"/>
    </row>
    <row r="17" spans="1:27" ht="15" customHeight="1" x14ac:dyDescent="0.25">
      <c r="A17" s="9">
        <v>13</v>
      </c>
      <c r="B17" t="s">
        <v>47</v>
      </c>
      <c r="Q17" s="19">
        <v>-12.39</v>
      </c>
      <c r="S17" s="19"/>
      <c r="Y17" s="19"/>
      <c r="Z17" s="19">
        <f t="shared" si="0"/>
        <v>70983.679999999993</v>
      </c>
      <c r="AA17" s="34"/>
    </row>
    <row r="18" spans="1:27" ht="15" customHeight="1" x14ac:dyDescent="0.25">
      <c r="A18" s="9">
        <v>14</v>
      </c>
      <c r="B18" t="s">
        <v>48</v>
      </c>
      <c r="S18" s="19">
        <v>-27.9</v>
      </c>
      <c r="Y18" s="19"/>
      <c r="Z18" s="19">
        <f t="shared" si="0"/>
        <v>70955.78</v>
      </c>
      <c r="AA18" s="34"/>
    </row>
    <row r="19" spans="1:27" ht="15" customHeight="1" x14ac:dyDescent="0.25">
      <c r="A19" s="9">
        <v>15</v>
      </c>
      <c r="B19" t="s">
        <v>49</v>
      </c>
      <c r="K19" s="19">
        <v>-68.489999999999995</v>
      </c>
      <c r="S19" s="19"/>
      <c r="Y19" s="19"/>
      <c r="Z19" s="19">
        <f t="shared" si="0"/>
        <v>70887.289999999994</v>
      </c>
      <c r="AA19" s="34"/>
    </row>
    <row r="20" spans="1:27" ht="15" customHeight="1" x14ac:dyDescent="0.25">
      <c r="A20" s="9">
        <v>16</v>
      </c>
      <c r="B20" t="s">
        <v>50</v>
      </c>
      <c r="M20" s="19">
        <v>-59.04</v>
      </c>
      <c r="S20" s="19"/>
      <c r="Y20" s="19"/>
      <c r="Z20" s="19">
        <f t="shared" si="0"/>
        <v>70828.25</v>
      </c>
      <c r="AA20" s="34"/>
    </row>
    <row r="21" spans="1:27" ht="15" customHeight="1" x14ac:dyDescent="0.25">
      <c r="A21" s="9">
        <v>17</v>
      </c>
      <c r="B21" t="s">
        <v>51</v>
      </c>
      <c r="H21" s="19">
        <f>-36.37</f>
        <v>-36.369999999999997</v>
      </c>
      <c r="S21" s="19"/>
      <c r="Y21" s="19"/>
      <c r="Z21" s="19">
        <f t="shared" si="0"/>
        <v>70791.88</v>
      </c>
      <c r="AA21" s="34"/>
    </row>
    <row r="22" spans="1:27" ht="15" customHeight="1" x14ac:dyDescent="0.25">
      <c r="A22" s="9">
        <v>18</v>
      </c>
      <c r="B22" t="s">
        <v>52</v>
      </c>
      <c r="S22" s="19">
        <v>-29.84</v>
      </c>
      <c r="Y22" s="19"/>
      <c r="Z22" s="19">
        <f t="shared" si="0"/>
        <v>70762.040000000008</v>
      </c>
      <c r="AA22" s="34"/>
    </row>
    <row r="23" spans="1:27" ht="15" customHeight="1" x14ac:dyDescent="0.25">
      <c r="A23" s="9">
        <v>19</v>
      </c>
      <c r="B23" t="s">
        <v>53</v>
      </c>
      <c r="S23" s="19">
        <v>-63.03</v>
      </c>
      <c r="Y23" s="19"/>
      <c r="Z23" s="19">
        <f t="shared" si="0"/>
        <v>70699.010000000009</v>
      </c>
      <c r="AA23" s="34"/>
    </row>
    <row r="24" spans="1:27" ht="15" customHeight="1" x14ac:dyDescent="0.25">
      <c r="A24" s="9">
        <v>20</v>
      </c>
      <c r="B24" t="s">
        <v>54</v>
      </c>
      <c r="P24" s="19">
        <f>-893.47-X24</f>
        <v>-42.480000000000018</v>
      </c>
      <c r="S24" s="19"/>
      <c r="X24" s="19">
        <f>-X31</f>
        <v>-850.99</v>
      </c>
      <c r="Y24" s="19"/>
      <c r="Z24" s="19">
        <f t="shared" si="0"/>
        <v>69805.540000000008</v>
      </c>
      <c r="AA24" s="34"/>
    </row>
    <row r="25" spans="1:27" ht="15" customHeight="1" x14ac:dyDescent="0.25">
      <c r="A25" s="9">
        <v>21</v>
      </c>
      <c r="B25" t="s">
        <v>55</v>
      </c>
      <c r="S25" s="19"/>
      <c r="U25" s="19">
        <v>-82.85</v>
      </c>
      <c r="Y25" s="19"/>
      <c r="Z25" s="19">
        <f t="shared" si="0"/>
        <v>69722.69</v>
      </c>
      <c r="AA25" s="34"/>
    </row>
    <row r="26" spans="1:27" ht="15" customHeight="1" x14ac:dyDescent="0.25">
      <c r="A26" s="9">
        <v>22</v>
      </c>
      <c r="B26" t="s">
        <v>56</v>
      </c>
      <c r="M26" s="19">
        <f>-4.96-S26</f>
        <v>5.62</v>
      </c>
      <c r="S26" s="19">
        <v>-10.58</v>
      </c>
      <c r="Y26" s="19"/>
      <c r="Z26" s="19">
        <f t="shared" si="0"/>
        <v>69717.73</v>
      </c>
      <c r="AA26" s="34"/>
    </row>
    <row r="27" spans="1:27" ht="15" customHeight="1" x14ac:dyDescent="0.25">
      <c r="A27" s="9">
        <v>23</v>
      </c>
      <c r="B27" t="s">
        <v>57</v>
      </c>
      <c r="K27" s="19">
        <v>-82.52</v>
      </c>
      <c r="S27" s="19"/>
      <c r="Y27" s="19"/>
      <c r="Z27" s="19">
        <f t="shared" si="0"/>
        <v>69635.209999999992</v>
      </c>
      <c r="AA27" s="34"/>
    </row>
    <row r="28" spans="1:27" ht="15" customHeight="1" x14ac:dyDescent="0.25">
      <c r="A28" s="9">
        <v>24</v>
      </c>
      <c r="B28" t="s">
        <v>58</v>
      </c>
      <c r="O28" s="19">
        <v>-72.83</v>
      </c>
      <c r="S28" s="19"/>
      <c r="Y28" s="19"/>
      <c r="Z28" s="19">
        <f t="shared" si="0"/>
        <v>69562.37999999999</v>
      </c>
      <c r="AA28" s="34"/>
    </row>
    <row r="29" spans="1:27" ht="15" customHeight="1" x14ac:dyDescent="0.25">
      <c r="A29" s="9">
        <v>25</v>
      </c>
      <c r="B29" t="s">
        <v>59</v>
      </c>
      <c r="S29" s="19"/>
      <c r="T29" s="19">
        <v>-40.619999999999997</v>
      </c>
      <c r="Y29" s="19"/>
      <c r="Z29" s="19">
        <f t="shared" si="0"/>
        <v>69521.759999999995</v>
      </c>
      <c r="AA29" s="34"/>
    </row>
    <row r="30" spans="1:27" ht="15" customHeight="1" x14ac:dyDescent="0.25">
      <c r="A30" s="9">
        <v>26</v>
      </c>
      <c r="B30" t="s">
        <v>60</v>
      </c>
      <c r="S30" s="19">
        <v>-28.93</v>
      </c>
      <c r="Y30" s="19"/>
      <c r="Z30" s="19">
        <f t="shared" si="0"/>
        <v>69492.83</v>
      </c>
      <c r="AA30" s="34"/>
    </row>
    <row r="31" spans="1:27" ht="15" customHeight="1" x14ac:dyDescent="0.25">
      <c r="A31" s="9">
        <v>27</v>
      </c>
      <c r="B31" t="s">
        <v>61</v>
      </c>
      <c r="S31" s="19"/>
      <c r="X31" s="19">
        <v>850.99</v>
      </c>
      <c r="Y31" s="19"/>
      <c r="Z31" s="19">
        <f t="shared" si="0"/>
        <v>70343.820000000007</v>
      </c>
      <c r="AA31" s="34"/>
    </row>
    <row r="32" spans="1:27" ht="15" customHeight="1" x14ac:dyDescent="0.25">
      <c r="A32" s="9">
        <v>28</v>
      </c>
      <c r="B32" t="s">
        <v>62</v>
      </c>
      <c r="S32" s="19">
        <v>-40.29</v>
      </c>
      <c r="Y32" s="19"/>
      <c r="Z32" s="19">
        <f t="shared" si="0"/>
        <v>70303.530000000013</v>
      </c>
      <c r="AA32" s="34"/>
    </row>
    <row r="33" spans="1:27" ht="15" customHeight="1" x14ac:dyDescent="0.25">
      <c r="A33" s="9">
        <v>29</v>
      </c>
      <c r="B33" t="s">
        <v>63</v>
      </c>
      <c r="L33" s="19">
        <v>18.350000000000001</v>
      </c>
      <c r="S33" s="19"/>
      <c r="Y33" s="19"/>
      <c r="Z33" s="19">
        <f t="shared" si="0"/>
        <v>70321.880000000019</v>
      </c>
      <c r="AA33" s="34"/>
    </row>
    <row r="34" spans="1:27" ht="15" customHeight="1" x14ac:dyDescent="0.25">
      <c r="A34" s="9">
        <v>30</v>
      </c>
      <c r="B34" t="s">
        <v>64</v>
      </c>
      <c r="N34" s="19">
        <v>-18.7</v>
      </c>
      <c r="S34" s="19"/>
      <c r="Y34" s="19"/>
      <c r="Z34" s="19">
        <f t="shared" si="0"/>
        <v>70303.180000000022</v>
      </c>
      <c r="AA34" s="34"/>
    </row>
    <row r="35" spans="1:27" ht="15" customHeight="1" x14ac:dyDescent="0.25">
      <c r="A35" s="9">
        <v>31</v>
      </c>
      <c r="B35" t="s">
        <v>65</v>
      </c>
      <c r="S35" s="19">
        <v>-86.27</v>
      </c>
      <c r="Y35" s="19"/>
      <c r="Z35" s="19">
        <f t="shared" si="0"/>
        <v>70216.910000000018</v>
      </c>
      <c r="AA35" s="34"/>
    </row>
    <row r="36" spans="1:27" ht="15" customHeight="1" x14ac:dyDescent="0.25">
      <c r="A36" s="9">
        <v>32</v>
      </c>
      <c r="B36" t="s">
        <v>66</v>
      </c>
      <c r="N36" s="19">
        <v>-64.34</v>
      </c>
      <c r="S36" s="19"/>
      <c r="Y36" s="19"/>
      <c r="Z36" s="19">
        <f t="shared" si="0"/>
        <v>70152.570000000022</v>
      </c>
      <c r="AA36" s="34"/>
    </row>
    <row r="37" spans="1:27" ht="15" customHeight="1" x14ac:dyDescent="0.25">
      <c r="A37" s="9">
        <v>33</v>
      </c>
      <c r="B37" t="s">
        <v>67</v>
      </c>
      <c r="S37" s="19">
        <v>-82.64</v>
      </c>
      <c r="Y37" s="19"/>
      <c r="Z37" s="19">
        <f t="shared" ref="Z37:Z68" si="1">$Z36+(SUM(C37:Y37))</f>
        <v>70069.930000000022</v>
      </c>
      <c r="AA37" s="34"/>
    </row>
    <row r="38" spans="1:27" ht="15" customHeight="1" x14ac:dyDescent="0.25">
      <c r="A38" s="9">
        <v>34</v>
      </c>
      <c r="B38" t="s">
        <v>68</v>
      </c>
      <c r="S38" s="19">
        <v>-145.66</v>
      </c>
      <c r="Y38" s="19"/>
      <c r="Z38" s="19">
        <f t="shared" si="1"/>
        <v>69924.270000000019</v>
      </c>
      <c r="AA38" s="34"/>
    </row>
    <row r="39" spans="1:27" ht="15" customHeight="1" x14ac:dyDescent="0.25">
      <c r="A39" s="9">
        <v>35</v>
      </c>
      <c r="B39" t="s">
        <v>69</v>
      </c>
      <c r="S39" s="19"/>
      <c r="T39" s="19">
        <v>-58.26</v>
      </c>
      <c r="Y39" s="19"/>
      <c r="Z39" s="19">
        <f t="shared" si="1"/>
        <v>69866.010000000024</v>
      </c>
      <c r="AA39" s="34"/>
    </row>
    <row r="40" spans="1:27" ht="15" customHeight="1" x14ac:dyDescent="0.25">
      <c r="A40" s="9">
        <v>36</v>
      </c>
      <c r="B40" t="s">
        <v>70</v>
      </c>
      <c r="S40" s="19">
        <v>-97.58</v>
      </c>
      <c r="Y40" s="19"/>
      <c r="Z40" s="19">
        <f t="shared" si="1"/>
        <v>69768.430000000022</v>
      </c>
      <c r="AA40" s="34"/>
    </row>
    <row r="41" spans="1:27" ht="15" customHeight="1" x14ac:dyDescent="0.25">
      <c r="A41" s="9">
        <v>37</v>
      </c>
      <c r="B41" t="s">
        <v>71</v>
      </c>
      <c r="K41" s="19">
        <v>-44.07</v>
      </c>
      <c r="S41" s="19"/>
      <c r="Y41" s="19"/>
      <c r="Z41" s="19">
        <f t="shared" si="1"/>
        <v>69724.360000000015</v>
      </c>
      <c r="AA41" s="34"/>
    </row>
    <row r="42" spans="1:27" ht="15" customHeight="1" x14ac:dyDescent="0.25">
      <c r="A42" s="9">
        <v>38</v>
      </c>
      <c r="B42" t="s">
        <v>72</v>
      </c>
      <c r="S42" s="19">
        <v>-59.68</v>
      </c>
      <c r="Y42" s="19"/>
      <c r="Z42" s="19">
        <f t="shared" si="1"/>
        <v>69664.680000000022</v>
      </c>
      <c r="AA42" s="34"/>
    </row>
    <row r="43" spans="1:27" ht="15" customHeight="1" x14ac:dyDescent="0.25">
      <c r="A43" s="9">
        <v>39</v>
      </c>
      <c r="B43" t="s">
        <v>73</v>
      </c>
      <c r="K43" s="19">
        <v>-106.69</v>
      </c>
      <c r="S43" s="19"/>
      <c r="Y43" s="19"/>
      <c r="Z43" s="19">
        <f t="shared" si="1"/>
        <v>69557.99000000002</v>
      </c>
      <c r="AA43" s="34"/>
    </row>
    <row r="44" spans="1:27" ht="15" customHeight="1" x14ac:dyDescent="0.25">
      <c r="A44" s="9">
        <v>40</v>
      </c>
      <c r="B44" t="s">
        <v>74</v>
      </c>
      <c r="S44" s="19">
        <v>-65.67</v>
      </c>
      <c r="Y44" s="19"/>
      <c r="Z44" s="19">
        <f t="shared" si="1"/>
        <v>69492.320000000022</v>
      </c>
      <c r="AA44" s="34"/>
    </row>
    <row r="45" spans="1:27" ht="15" customHeight="1" x14ac:dyDescent="0.25">
      <c r="A45" s="9">
        <v>41</v>
      </c>
      <c r="B45" t="s">
        <v>75</v>
      </c>
      <c r="P45" s="19">
        <v>-166.12</v>
      </c>
      <c r="S45" s="19"/>
      <c r="Y45" s="19"/>
      <c r="Z45" s="19">
        <f t="shared" si="1"/>
        <v>69326.200000000026</v>
      </c>
      <c r="AA45" s="34"/>
    </row>
    <row r="46" spans="1:27" ht="15" customHeight="1" x14ac:dyDescent="0.25">
      <c r="A46" s="9">
        <v>42</v>
      </c>
      <c r="B46" t="s">
        <v>76</v>
      </c>
      <c r="N46" s="19">
        <v>-61.96</v>
      </c>
      <c r="S46" s="19"/>
      <c r="Y46" s="19"/>
      <c r="Z46" s="19">
        <f t="shared" si="1"/>
        <v>69264.24000000002</v>
      </c>
      <c r="AA46" s="34"/>
    </row>
    <row r="47" spans="1:27" ht="15" customHeight="1" x14ac:dyDescent="0.25">
      <c r="A47" s="9">
        <v>43</v>
      </c>
      <c r="B47" t="s">
        <v>77</v>
      </c>
      <c r="S47" s="19"/>
      <c r="V47" s="19">
        <v>-73.41</v>
      </c>
      <c r="Y47" s="19"/>
      <c r="Z47" s="19">
        <f t="shared" si="1"/>
        <v>69190.830000000016</v>
      </c>
      <c r="AA47" s="34"/>
    </row>
    <row r="48" spans="1:27" ht="15" customHeight="1" x14ac:dyDescent="0.25">
      <c r="A48" s="9">
        <v>44</v>
      </c>
      <c r="B48" t="s">
        <v>78</v>
      </c>
      <c r="M48" s="19">
        <v>-14.12</v>
      </c>
      <c r="S48" s="19"/>
      <c r="Y48" s="19"/>
      <c r="Z48" s="19">
        <f t="shared" si="1"/>
        <v>69176.710000000021</v>
      </c>
      <c r="AA48" s="34"/>
    </row>
    <row r="49" spans="1:27" ht="15" customHeight="1" x14ac:dyDescent="0.25">
      <c r="A49" s="9">
        <v>45</v>
      </c>
      <c r="B49" t="s">
        <v>79</v>
      </c>
      <c r="S49" s="19">
        <v>-30.51</v>
      </c>
      <c r="Y49" s="19"/>
      <c r="Z49" s="19">
        <f t="shared" si="1"/>
        <v>69146.200000000026</v>
      </c>
      <c r="AA49" s="34"/>
    </row>
    <row r="50" spans="1:27" ht="15" customHeight="1" x14ac:dyDescent="0.25">
      <c r="A50" s="9">
        <v>46</v>
      </c>
      <c r="B50" t="s">
        <v>80</v>
      </c>
      <c r="N50" s="19">
        <v>-36.04</v>
      </c>
      <c r="S50" s="19"/>
      <c r="Y50" s="19"/>
      <c r="Z50" s="19">
        <f t="shared" si="1"/>
        <v>69110.160000000033</v>
      </c>
      <c r="AA50" s="34"/>
    </row>
    <row r="51" spans="1:27" ht="15" customHeight="1" x14ac:dyDescent="0.25">
      <c r="A51" s="9">
        <v>47</v>
      </c>
      <c r="B51" t="s">
        <v>81</v>
      </c>
      <c r="S51" s="19">
        <v>-17.18</v>
      </c>
      <c r="Y51" s="19"/>
      <c r="Z51" s="19">
        <f t="shared" si="1"/>
        <v>69092.98000000004</v>
      </c>
      <c r="AA51" s="34"/>
    </row>
    <row r="52" spans="1:27" ht="15" customHeight="1" x14ac:dyDescent="0.25">
      <c r="A52" s="9">
        <v>48</v>
      </c>
      <c r="B52" t="s">
        <v>82</v>
      </c>
      <c r="P52" s="19">
        <v>-30.95</v>
      </c>
      <c r="S52" s="19"/>
      <c r="Y52" s="19"/>
      <c r="Z52" s="19">
        <f t="shared" si="1"/>
        <v>69062.030000000042</v>
      </c>
      <c r="AA52" s="34"/>
    </row>
    <row r="53" spans="1:27" ht="15" customHeight="1" x14ac:dyDescent="0.25">
      <c r="A53" s="9">
        <v>49</v>
      </c>
      <c r="B53" t="s">
        <v>83</v>
      </c>
      <c r="S53" s="19"/>
      <c r="T53" s="19">
        <f>-9.42</f>
        <v>-9.42</v>
      </c>
      <c r="Y53" s="19"/>
      <c r="Z53" s="19">
        <f t="shared" si="1"/>
        <v>69052.610000000044</v>
      </c>
      <c r="AA53" s="34"/>
    </row>
    <row r="54" spans="1:27" ht="15" customHeight="1" x14ac:dyDescent="0.25">
      <c r="A54" s="9">
        <v>50</v>
      </c>
      <c r="B54" t="s">
        <v>84</v>
      </c>
      <c r="S54" s="19"/>
      <c r="T54" s="19">
        <v>-19.09</v>
      </c>
      <c r="Y54" s="19"/>
      <c r="Z54" s="19">
        <f t="shared" si="1"/>
        <v>69033.520000000048</v>
      </c>
      <c r="AA54" s="34"/>
    </row>
    <row r="55" spans="1:27" ht="15" customHeight="1" x14ac:dyDescent="0.25">
      <c r="A55" s="9">
        <v>51</v>
      </c>
      <c r="B55" t="s">
        <v>85</v>
      </c>
      <c r="S55" s="19">
        <v>-35.020000000000003</v>
      </c>
      <c r="Y55" s="19"/>
      <c r="Z55" s="19">
        <f t="shared" si="1"/>
        <v>68998.500000000044</v>
      </c>
      <c r="AA55" s="34"/>
    </row>
    <row r="56" spans="1:27" ht="15" customHeight="1" x14ac:dyDescent="0.25">
      <c r="A56" s="9">
        <v>52</v>
      </c>
      <c r="B56" t="s">
        <v>86</v>
      </c>
      <c r="K56" s="19">
        <v>-67.209999999999994</v>
      </c>
      <c r="S56" s="19"/>
      <c r="Y56" s="19"/>
      <c r="Z56" s="19">
        <f t="shared" si="1"/>
        <v>68931.290000000037</v>
      </c>
      <c r="AA56" s="34"/>
    </row>
    <row r="57" spans="1:27" ht="15" customHeight="1" x14ac:dyDescent="0.25">
      <c r="A57" s="9">
        <v>53</v>
      </c>
      <c r="B57" t="s">
        <v>87</v>
      </c>
      <c r="S57" s="19">
        <v>-42.83</v>
      </c>
      <c r="Y57" s="19"/>
      <c r="Z57" s="19">
        <f t="shared" si="1"/>
        <v>68888.460000000036</v>
      </c>
      <c r="AA57" s="34"/>
    </row>
    <row r="58" spans="1:27" ht="15" customHeight="1" x14ac:dyDescent="0.25">
      <c r="A58" s="9">
        <v>54</v>
      </c>
      <c r="B58" t="s">
        <v>88</v>
      </c>
      <c r="N58" s="19">
        <v>-43.32</v>
      </c>
      <c r="S58" s="19"/>
      <c r="Y58" s="19"/>
      <c r="Z58" s="19">
        <f t="shared" si="1"/>
        <v>68845.140000000029</v>
      </c>
      <c r="AA58" s="34"/>
    </row>
    <row r="59" spans="1:27" ht="15" customHeight="1" x14ac:dyDescent="0.25">
      <c r="A59" s="9">
        <v>55</v>
      </c>
      <c r="B59" t="s">
        <v>89</v>
      </c>
      <c r="O59" s="19">
        <v>-28.86</v>
      </c>
      <c r="S59" s="19"/>
      <c r="Y59" s="19"/>
      <c r="Z59" s="19">
        <f t="shared" si="1"/>
        <v>68816.280000000028</v>
      </c>
      <c r="AA59" s="34"/>
    </row>
    <row r="60" spans="1:27" ht="15" customHeight="1" x14ac:dyDescent="0.25">
      <c r="A60" s="9">
        <v>56</v>
      </c>
      <c r="B60" t="s">
        <v>90</v>
      </c>
      <c r="N60" s="19">
        <v>-34.03</v>
      </c>
      <c r="S60" s="19"/>
      <c r="Y60" s="19"/>
      <c r="Z60" s="19">
        <f t="shared" si="1"/>
        <v>68782.250000000029</v>
      </c>
      <c r="AA60" s="34"/>
    </row>
    <row r="61" spans="1:27" ht="15" customHeight="1" x14ac:dyDescent="0.25">
      <c r="A61" s="9">
        <v>57</v>
      </c>
      <c r="B61" t="s">
        <v>91</v>
      </c>
      <c r="L61" s="19">
        <v>94.3</v>
      </c>
      <c r="S61" s="19"/>
      <c r="Y61" s="19"/>
      <c r="Z61" s="19">
        <f t="shared" si="1"/>
        <v>68876.550000000032</v>
      </c>
      <c r="AA61" s="34"/>
    </row>
    <row r="62" spans="1:27" ht="15" customHeight="1" x14ac:dyDescent="0.25">
      <c r="A62" s="9">
        <v>58</v>
      </c>
      <c r="B62" t="s">
        <v>92</v>
      </c>
      <c r="S62" s="19">
        <v>-68.319999999999993</v>
      </c>
      <c r="Y62" s="19"/>
      <c r="Z62" s="19">
        <f t="shared" si="1"/>
        <v>68808.230000000025</v>
      </c>
      <c r="AA62" s="34"/>
    </row>
    <row r="63" spans="1:27" ht="15" customHeight="1" x14ac:dyDescent="0.25">
      <c r="A63" s="9">
        <v>59</v>
      </c>
      <c r="B63" t="s">
        <v>93</v>
      </c>
      <c r="S63" s="19">
        <v>-64.819999999999993</v>
      </c>
      <c r="Y63" s="19"/>
      <c r="Z63" s="19">
        <f t="shared" si="1"/>
        <v>68743.410000000018</v>
      </c>
      <c r="AA63" s="34"/>
    </row>
    <row r="64" spans="1:27" ht="15" customHeight="1" x14ac:dyDescent="0.25">
      <c r="A64" s="9">
        <v>60</v>
      </c>
      <c r="B64" t="s">
        <v>94</v>
      </c>
      <c r="S64" s="19">
        <v>-25.4</v>
      </c>
      <c r="Y64" s="19"/>
      <c r="Z64" s="19">
        <f t="shared" si="1"/>
        <v>68718.010000000024</v>
      </c>
      <c r="AA64" s="34"/>
    </row>
    <row r="65" spans="1:27" ht="15" customHeight="1" x14ac:dyDescent="0.25">
      <c r="A65" s="9">
        <v>61</v>
      </c>
      <c r="B65" t="s">
        <v>95</v>
      </c>
      <c r="N65" s="19">
        <v>-118.32</v>
      </c>
      <c r="S65" s="19"/>
      <c r="Y65" s="19"/>
      <c r="Z65" s="19">
        <f t="shared" si="1"/>
        <v>68599.690000000017</v>
      </c>
      <c r="AA65" s="34"/>
    </row>
    <row r="66" spans="1:27" ht="15" customHeight="1" thickBot="1" x14ac:dyDescent="0.3">
      <c r="A66" s="9">
        <v>62</v>
      </c>
      <c r="B66" t="s">
        <v>96</v>
      </c>
      <c r="S66" s="19">
        <v>-24.71</v>
      </c>
      <c r="Y66" s="19"/>
      <c r="Z66" s="19">
        <f t="shared" si="1"/>
        <v>68574.98000000001</v>
      </c>
      <c r="AA66" s="35"/>
    </row>
    <row r="67" spans="1:27" ht="15" customHeight="1" thickTop="1" thickBot="1" x14ac:dyDescent="0.3">
      <c r="A67" s="9">
        <v>63</v>
      </c>
      <c r="B67" s="17" t="s">
        <v>162</v>
      </c>
      <c r="S67" s="19"/>
      <c r="Y67" s="19"/>
      <c r="Z67" s="19">
        <f t="shared" si="1"/>
        <v>68574.98000000001</v>
      </c>
      <c r="AA67" s="10" t="s">
        <v>160</v>
      </c>
    </row>
    <row r="68" spans="1:27" ht="15" customHeight="1" thickTop="1" x14ac:dyDescent="0.25">
      <c r="A68" s="9">
        <v>64</v>
      </c>
      <c r="B68" s="17" t="s">
        <v>163</v>
      </c>
      <c r="S68" s="19"/>
      <c r="Y68" s="19"/>
      <c r="Z68" s="19">
        <f t="shared" si="1"/>
        <v>68574.98000000001</v>
      </c>
      <c r="AA68" s="33" t="s">
        <v>161</v>
      </c>
    </row>
    <row r="69" spans="1:27" ht="15" customHeight="1" x14ac:dyDescent="0.25">
      <c r="A69" s="9">
        <v>65</v>
      </c>
      <c r="B69" s="17" t="s">
        <v>164</v>
      </c>
      <c r="S69" s="19"/>
      <c r="Y69" s="19"/>
      <c r="Z69" s="19">
        <f t="shared" ref="Z69:Z100" si="2">$Z68+(SUM(C69:Y69))</f>
        <v>68574.98000000001</v>
      </c>
      <c r="AA69" s="34"/>
    </row>
    <row r="70" spans="1:27" ht="15" customHeight="1" x14ac:dyDescent="0.25">
      <c r="A70" s="9">
        <v>66</v>
      </c>
      <c r="B70" s="17" t="s">
        <v>165</v>
      </c>
      <c r="S70" s="19"/>
      <c r="Y70" s="19"/>
      <c r="Z70" s="19">
        <f t="shared" si="2"/>
        <v>68574.98000000001</v>
      </c>
      <c r="AA70" s="34"/>
    </row>
    <row r="71" spans="1:27" ht="15" customHeight="1" x14ac:dyDescent="0.25">
      <c r="A71" s="9">
        <v>67</v>
      </c>
      <c r="B71" s="17" t="s">
        <v>166</v>
      </c>
      <c r="S71" s="19"/>
      <c r="Y71" s="19"/>
      <c r="Z71" s="19">
        <f t="shared" si="2"/>
        <v>68574.98000000001</v>
      </c>
      <c r="AA71" s="34"/>
    </row>
    <row r="72" spans="1:27" ht="15" customHeight="1" thickBot="1" x14ac:dyDescent="0.3">
      <c r="A72" s="9">
        <v>68</v>
      </c>
      <c r="B72" s="17" t="s">
        <v>167</v>
      </c>
      <c r="S72" s="19"/>
      <c r="Y72" s="19"/>
      <c r="Z72" s="19">
        <f t="shared" si="2"/>
        <v>68574.98000000001</v>
      </c>
      <c r="AA72" s="35"/>
    </row>
    <row r="73" spans="1:27" ht="15.75" customHeight="1" thickTop="1" x14ac:dyDescent="0.25">
      <c r="S73" s="19"/>
      <c r="Z73" s="19"/>
    </row>
    <row r="74" spans="1:27" x14ac:dyDescent="0.25">
      <c r="S74" s="19"/>
      <c r="X74" s="18"/>
      <c r="Z74" s="18" t="s">
        <v>97</v>
      </c>
    </row>
    <row r="75" spans="1:27" ht="15.75" customHeight="1" thickBot="1" x14ac:dyDescent="0.3">
      <c r="A75" s="11"/>
      <c r="B75" s="22"/>
      <c r="C75" s="22">
        <f t="shared" ref="C75:Y75" si="3">SUM(C5:C74)</f>
        <v>3922.9900000000002</v>
      </c>
      <c r="D75" s="22">
        <f t="shared" si="3"/>
        <v>0</v>
      </c>
      <c r="E75" s="22">
        <f t="shared" si="3"/>
        <v>0</v>
      </c>
      <c r="F75" s="22">
        <f t="shared" si="3"/>
        <v>-64.84</v>
      </c>
      <c r="G75" s="22">
        <f t="shared" si="3"/>
        <v>0</v>
      </c>
      <c r="H75" s="22">
        <f t="shared" si="3"/>
        <v>-36.369999999999997</v>
      </c>
      <c r="I75" s="22">
        <f t="shared" si="3"/>
        <v>0</v>
      </c>
      <c r="J75" s="22">
        <f t="shared" si="3"/>
        <v>0</v>
      </c>
      <c r="K75" s="22">
        <f t="shared" si="3"/>
        <v>-411.34</v>
      </c>
      <c r="L75" s="22">
        <f t="shared" si="3"/>
        <v>197.81</v>
      </c>
      <c r="M75" s="22">
        <f t="shared" si="3"/>
        <v>-67.540000000000006</v>
      </c>
      <c r="N75" s="22">
        <f t="shared" si="3"/>
        <v>-376.71</v>
      </c>
      <c r="O75" s="22">
        <f t="shared" si="3"/>
        <v>-25.409999999999997</v>
      </c>
      <c r="P75" s="22">
        <f t="shared" si="3"/>
        <v>-239.55</v>
      </c>
      <c r="Q75" s="22">
        <f t="shared" si="3"/>
        <v>-747.68999999999994</v>
      </c>
      <c r="R75" s="22">
        <f t="shared" si="3"/>
        <v>0</v>
      </c>
      <c r="S75" s="22">
        <f t="shared" si="3"/>
        <v>-1046.8599999999997</v>
      </c>
      <c r="T75" s="22">
        <f t="shared" si="3"/>
        <v>-160.21999999999997</v>
      </c>
      <c r="U75" s="22">
        <f t="shared" si="3"/>
        <v>-82.85</v>
      </c>
      <c r="V75" s="22">
        <f t="shared" si="3"/>
        <v>-73.41</v>
      </c>
      <c r="W75" s="22">
        <f t="shared" si="3"/>
        <v>0</v>
      </c>
      <c r="X75" s="22">
        <f t="shared" si="3"/>
        <v>-167.02999999999997</v>
      </c>
      <c r="Y75" s="22">
        <f t="shared" si="3"/>
        <v>0</v>
      </c>
      <c r="Z75" s="23">
        <f>SUM(C75:Y75)</f>
        <v>620.98000000000025</v>
      </c>
    </row>
    <row r="76" spans="1:27" ht="15.75" customHeight="1" thickTop="1" x14ac:dyDescent="0.25">
      <c r="A76" s="12"/>
    </row>
    <row r="77" spans="1:27" x14ac:dyDescent="0.25">
      <c r="B77" t="s">
        <v>98</v>
      </c>
    </row>
    <row r="79" spans="1:27" ht="15.75" customHeight="1" thickBot="1" x14ac:dyDescent="0.3">
      <c r="A79" s="1" t="s">
        <v>7</v>
      </c>
      <c r="B79" s="2" t="s">
        <v>8</v>
      </c>
      <c r="C79" s="24" t="s">
        <v>99</v>
      </c>
      <c r="D79" s="24" t="s">
        <v>100</v>
      </c>
      <c r="E79" s="24" t="s">
        <v>101</v>
      </c>
      <c r="F79" s="24" t="s">
        <v>102</v>
      </c>
      <c r="G79" s="24" t="s">
        <v>103</v>
      </c>
      <c r="H79" s="24" t="s">
        <v>104</v>
      </c>
      <c r="I79" s="24" t="s">
        <v>105</v>
      </c>
      <c r="J79" s="24" t="s">
        <v>106</v>
      </c>
      <c r="M79" s="25"/>
      <c r="X79" s="36" t="s">
        <v>107</v>
      </c>
      <c r="Y79" s="34"/>
      <c r="Z79" s="34"/>
    </row>
    <row r="80" spans="1:27" x14ac:dyDescent="0.25">
      <c r="A80" s="13"/>
      <c r="B80" s="8" t="s">
        <v>108</v>
      </c>
      <c r="C80" s="20"/>
      <c r="D80" s="20"/>
      <c r="E80" s="20"/>
      <c r="F80" s="20"/>
      <c r="G80" s="20"/>
      <c r="H80" s="20"/>
      <c r="I80" s="20"/>
      <c r="J80" s="20">
        <v>215463.14</v>
      </c>
      <c r="X80" t="s">
        <v>109</v>
      </c>
      <c r="Z80" s="19">
        <f>2208.09-13+145+500+42.56+55.08+12.5+400</f>
        <v>3350.23</v>
      </c>
    </row>
    <row r="81" spans="1:27" x14ac:dyDescent="0.25">
      <c r="A81" s="9">
        <v>1</v>
      </c>
      <c r="B81" t="s">
        <v>110</v>
      </c>
      <c r="C81" s="14" t="s">
        <v>111</v>
      </c>
      <c r="D81">
        <v>156</v>
      </c>
      <c r="E81" s="19">
        <v>484.83</v>
      </c>
      <c r="F81" s="19">
        <v>161.53</v>
      </c>
      <c r="G81" s="19">
        <f t="shared" ref="G81:G111" si="4">(F81-E81)*D81</f>
        <v>-50434.799999999996</v>
      </c>
      <c r="H81" s="26">
        <f t="shared" ref="H81:H111" si="5">IF(NOT(F81 = 0), F81/E81-1,"/")</f>
        <v>-0.66683167295753143</v>
      </c>
      <c r="I81" s="19">
        <f t="shared" ref="I81:I111" si="6">D81*F81</f>
        <v>25198.68</v>
      </c>
      <c r="J81" s="19">
        <f t="shared" ref="J81:J111" si="7">J80+G81</f>
        <v>165028.34000000003</v>
      </c>
      <c r="X81" s="19" t="s">
        <v>112</v>
      </c>
      <c r="Z81" s="19">
        <v>16889.849999999999</v>
      </c>
    </row>
    <row r="82" spans="1:27" x14ac:dyDescent="0.25">
      <c r="A82" s="9">
        <v>2</v>
      </c>
      <c r="B82" t="s">
        <v>113</v>
      </c>
      <c r="C82" s="14" t="s">
        <v>114</v>
      </c>
      <c r="D82">
        <v>43</v>
      </c>
      <c r="E82" s="19">
        <v>545.44000000000005</v>
      </c>
      <c r="F82" s="19">
        <v>168.04</v>
      </c>
      <c r="G82" s="19">
        <f t="shared" si="4"/>
        <v>-16228.200000000004</v>
      </c>
      <c r="H82" s="26">
        <f t="shared" si="5"/>
        <v>-0.69191845115869755</v>
      </c>
      <c r="I82" s="19">
        <f t="shared" si="6"/>
        <v>7225.7199999999993</v>
      </c>
      <c r="J82" s="19">
        <f t="shared" si="7"/>
        <v>148800.14000000001</v>
      </c>
      <c r="X82" t="s">
        <v>115</v>
      </c>
      <c r="Z82" s="19">
        <v>2572.91</v>
      </c>
    </row>
    <row r="83" spans="1:27" x14ac:dyDescent="0.25">
      <c r="A83" s="9">
        <v>3</v>
      </c>
      <c r="B83" t="s">
        <v>116</v>
      </c>
      <c r="C83" s="14" t="s">
        <v>117</v>
      </c>
      <c r="D83">
        <v>124</v>
      </c>
      <c r="E83" s="19">
        <v>286.8</v>
      </c>
      <c r="F83" s="19">
        <v>55.67</v>
      </c>
      <c r="G83" s="19">
        <f t="shared" si="4"/>
        <v>-28660.12</v>
      </c>
      <c r="H83" s="26">
        <f t="shared" si="5"/>
        <v>-0.80589260808926078</v>
      </c>
      <c r="I83" s="19">
        <f t="shared" si="6"/>
        <v>6903.08</v>
      </c>
      <c r="J83" s="19">
        <f t="shared" si="7"/>
        <v>120140.02000000002</v>
      </c>
      <c r="X83" s="19" t="s">
        <v>118</v>
      </c>
      <c r="Y83" s="27"/>
      <c r="Z83" s="19">
        <v>45743.67</v>
      </c>
    </row>
    <row r="84" spans="1:27" x14ac:dyDescent="0.25">
      <c r="A84" s="9">
        <v>4</v>
      </c>
      <c r="B84" t="s">
        <v>119</v>
      </c>
      <c r="C84" s="14" t="s">
        <v>120</v>
      </c>
      <c r="D84">
        <v>54</v>
      </c>
      <c r="E84" s="19">
        <v>614.69000000000005</v>
      </c>
      <c r="F84" s="19">
        <v>227.13</v>
      </c>
      <c r="G84" s="19">
        <f t="shared" si="4"/>
        <v>-20928.240000000002</v>
      </c>
      <c r="H84" s="26">
        <f t="shared" si="5"/>
        <v>-0.63049667311978408</v>
      </c>
      <c r="I84" s="19">
        <f t="shared" si="6"/>
        <v>12265.02</v>
      </c>
      <c r="J84" s="19">
        <f t="shared" si="7"/>
        <v>99211.780000000013</v>
      </c>
      <c r="Y84" s="27"/>
      <c r="Z84" s="19"/>
    </row>
    <row r="85" spans="1:27" x14ac:dyDescent="0.25">
      <c r="A85" s="9">
        <v>5</v>
      </c>
      <c r="B85" t="s">
        <v>121</v>
      </c>
      <c r="C85" s="14" t="s">
        <v>122</v>
      </c>
      <c r="D85" s="15">
        <v>223.42</v>
      </c>
      <c r="E85" s="19">
        <v>462.25</v>
      </c>
      <c r="F85" s="19">
        <v>282.99</v>
      </c>
      <c r="G85" s="19">
        <f t="shared" si="4"/>
        <v>-40050.269199999995</v>
      </c>
      <c r="H85" s="26">
        <f t="shared" si="5"/>
        <v>-0.38779881016765816</v>
      </c>
      <c r="I85" s="19">
        <f t="shared" si="6"/>
        <v>63225.625800000002</v>
      </c>
      <c r="J85" s="19">
        <f t="shared" si="7"/>
        <v>59161.510800000018</v>
      </c>
      <c r="Y85" s="27" t="s">
        <v>123</v>
      </c>
      <c r="Z85" s="19">
        <f>SUM(Z80:Z83)</f>
        <v>68556.66</v>
      </c>
      <c r="AA85" t="s">
        <v>124</v>
      </c>
    </row>
    <row r="86" spans="1:27" x14ac:dyDescent="0.25">
      <c r="A86" s="9">
        <v>6</v>
      </c>
      <c r="B86" t="s">
        <v>125</v>
      </c>
      <c r="C86" s="14" t="s">
        <v>168</v>
      </c>
      <c r="D86">
        <v>45</v>
      </c>
      <c r="E86" s="19">
        <v>108.58</v>
      </c>
      <c r="F86" s="19">
        <v>106.34</v>
      </c>
      <c r="G86" s="19">
        <f t="shared" si="4"/>
        <v>-100.79999999999977</v>
      </c>
      <c r="H86" s="26">
        <f t="shared" si="5"/>
        <v>-2.0629950267084141E-2</v>
      </c>
      <c r="I86" s="19">
        <f t="shared" si="6"/>
        <v>4785.3</v>
      </c>
      <c r="J86" s="19">
        <f t="shared" si="7"/>
        <v>59060.710800000015</v>
      </c>
      <c r="AA86" s="19">
        <f>Z72-Z85</f>
        <v>18.320000000006985</v>
      </c>
    </row>
    <row r="87" spans="1:27" x14ac:dyDescent="0.25">
      <c r="A87" s="9">
        <v>7</v>
      </c>
      <c r="B87" t="s">
        <v>126</v>
      </c>
      <c r="C87" s="14" t="s">
        <v>169</v>
      </c>
      <c r="D87">
        <v>64</v>
      </c>
      <c r="E87" s="19">
        <v>191.29</v>
      </c>
      <c r="F87" s="19">
        <v>413.36</v>
      </c>
      <c r="G87" s="19">
        <f t="shared" si="4"/>
        <v>14212.480000000001</v>
      </c>
      <c r="H87" s="26">
        <f t="shared" si="5"/>
        <v>1.1609075226096506</v>
      </c>
      <c r="I87" s="19">
        <f t="shared" si="6"/>
        <v>26455.040000000001</v>
      </c>
      <c r="J87" s="19">
        <f t="shared" si="7"/>
        <v>73273.190800000011</v>
      </c>
    </row>
    <row r="88" spans="1:27" x14ac:dyDescent="0.25">
      <c r="A88" s="9">
        <v>8</v>
      </c>
      <c r="B88" t="s">
        <v>127</v>
      </c>
      <c r="C88" s="14" t="s">
        <v>128</v>
      </c>
      <c r="D88">
        <v>12</v>
      </c>
      <c r="E88" s="19">
        <v>285.58999999999997</v>
      </c>
      <c r="F88" s="19">
        <v>161.33000000000001</v>
      </c>
      <c r="G88" s="19">
        <f t="shared" si="4"/>
        <v>-1491.1199999999994</v>
      </c>
      <c r="H88" s="26">
        <f t="shared" si="5"/>
        <v>-0.43509926818165889</v>
      </c>
      <c r="I88" s="19">
        <f t="shared" si="6"/>
        <v>1935.96</v>
      </c>
      <c r="J88" s="19">
        <f t="shared" si="7"/>
        <v>71782.070800000016</v>
      </c>
      <c r="X88" s="37" t="s">
        <v>176</v>
      </c>
      <c r="Y88" s="37"/>
      <c r="Z88" s="37"/>
    </row>
    <row r="89" spans="1:27" x14ac:dyDescent="0.25">
      <c r="A89" s="9">
        <v>9</v>
      </c>
      <c r="B89" t="s">
        <v>129</v>
      </c>
      <c r="C89" s="14" t="s">
        <v>170</v>
      </c>
      <c r="D89">
        <v>34</v>
      </c>
      <c r="E89" s="19">
        <v>350.53</v>
      </c>
      <c r="F89" s="19">
        <v>531.49</v>
      </c>
      <c r="G89" s="19">
        <f t="shared" si="4"/>
        <v>6152.6400000000012</v>
      </c>
      <c r="H89" s="26">
        <f t="shared" si="5"/>
        <v>0.5162468262345592</v>
      </c>
      <c r="I89" s="19">
        <f t="shared" si="6"/>
        <v>18070.66</v>
      </c>
      <c r="J89" s="19">
        <f t="shared" si="7"/>
        <v>77934.710800000015</v>
      </c>
      <c r="X89" s="19" t="s">
        <v>177</v>
      </c>
      <c r="Y89" s="19"/>
      <c r="Z89" s="19">
        <v>43194.04</v>
      </c>
    </row>
    <row r="90" spans="1:27" x14ac:dyDescent="0.25">
      <c r="A90" s="9">
        <v>10</v>
      </c>
      <c r="B90" t="s">
        <v>130</v>
      </c>
      <c r="C90" s="14" t="s">
        <v>171</v>
      </c>
      <c r="D90">
        <v>75</v>
      </c>
      <c r="E90" s="19">
        <v>556.53</v>
      </c>
      <c r="F90" s="19">
        <v>301.29000000000002</v>
      </c>
      <c r="G90" s="19">
        <f t="shared" si="4"/>
        <v>-19142.999999999996</v>
      </c>
      <c r="H90" s="26">
        <f t="shared" si="5"/>
        <v>-0.45862756724704856</v>
      </c>
      <c r="I90" s="19">
        <f t="shared" si="6"/>
        <v>22596.75</v>
      </c>
      <c r="J90" s="19">
        <f t="shared" si="7"/>
        <v>58791.710800000015</v>
      </c>
      <c r="X90" s="19" t="s">
        <v>178</v>
      </c>
      <c r="Z90" s="19">
        <v>4112.8599999999997</v>
      </c>
    </row>
    <row r="91" spans="1:27" x14ac:dyDescent="0.25">
      <c r="A91" s="9">
        <v>11</v>
      </c>
      <c r="B91" t="s">
        <v>131</v>
      </c>
      <c r="C91" s="14" t="s">
        <v>172</v>
      </c>
      <c r="D91">
        <v>4</v>
      </c>
      <c r="E91" s="19">
        <v>375.09</v>
      </c>
      <c r="F91" s="19">
        <v>680.04</v>
      </c>
      <c r="G91" s="19">
        <f t="shared" si="4"/>
        <v>1219.8</v>
      </c>
      <c r="H91" s="26">
        <f t="shared" si="5"/>
        <v>0.81300487882908112</v>
      </c>
      <c r="I91" s="19">
        <f t="shared" si="6"/>
        <v>2720.16</v>
      </c>
      <c r="J91" s="19">
        <f t="shared" si="7"/>
        <v>60011.510800000018</v>
      </c>
      <c r="X91" s="19" t="s">
        <v>179</v>
      </c>
      <c r="Z91" s="19">
        <v>43178.21</v>
      </c>
    </row>
    <row r="92" spans="1:27" x14ac:dyDescent="0.25">
      <c r="A92" s="9">
        <v>12</v>
      </c>
      <c r="B92" t="s">
        <v>132</v>
      </c>
      <c r="C92" s="14" t="s">
        <v>133</v>
      </c>
      <c r="D92">
        <v>12</v>
      </c>
      <c r="E92" s="19">
        <v>479.4</v>
      </c>
      <c r="F92" s="19">
        <v>89.04</v>
      </c>
      <c r="G92" s="19">
        <f t="shared" si="4"/>
        <v>-4684.32</v>
      </c>
      <c r="H92" s="26">
        <f t="shared" si="5"/>
        <v>-0.81426783479349185</v>
      </c>
      <c r="I92" s="19">
        <f t="shared" si="6"/>
        <v>1068.48</v>
      </c>
      <c r="J92" s="19">
        <f t="shared" si="7"/>
        <v>55327.190800000018</v>
      </c>
      <c r="O92" s="22"/>
      <c r="S92" s="19"/>
    </row>
    <row r="93" spans="1:27" x14ac:dyDescent="0.25">
      <c r="A93" s="9">
        <v>13</v>
      </c>
      <c r="B93" t="s">
        <v>134</v>
      </c>
      <c r="C93" s="14" t="s">
        <v>173</v>
      </c>
      <c r="D93">
        <v>33</v>
      </c>
      <c r="E93" s="19">
        <v>194.11</v>
      </c>
      <c r="F93" s="19">
        <v>452.26</v>
      </c>
      <c r="G93" s="19">
        <f t="shared" si="4"/>
        <v>8518.9499999999989</v>
      </c>
      <c r="H93" s="26">
        <f t="shared" si="5"/>
        <v>1.3299160269950026</v>
      </c>
      <c r="I93" s="19">
        <f t="shared" si="6"/>
        <v>14924.58</v>
      </c>
      <c r="J93" s="19">
        <f t="shared" si="7"/>
        <v>63846.140800000016</v>
      </c>
      <c r="S93" s="19"/>
      <c r="Y93" s="27" t="s">
        <v>123</v>
      </c>
      <c r="Z93" s="19">
        <f>SUM(Z89:Z91)</f>
        <v>90485.11</v>
      </c>
    </row>
    <row r="94" spans="1:27" x14ac:dyDescent="0.25">
      <c r="A94" s="9">
        <v>14</v>
      </c>
      <c r="B94" t="s">
        <v>135</v>
      </c>
      <c r="C94" s="14" t="s">
        <v>174</v>
      </c>
      <c r="D94">
        <v>53</v>
      </c>
      <c r="E94" s="19">
        <v>119.13</v>
      </c>
      <c r="F94" s="19">
        <v>12.24</v>
      </c>
      <c r="G94" s="19">
        <f t="shared" si="4"/>
        <v>-5665.17</v>
      </c>
      <c r="H94" s="26">
        <f t="shared" si="5"/>
        <v>-0.897255099471166</v>
      </c>
      <c r="I94" s="19">
        <f t="shared" si="6"/>
        <v>648.72</v>
      </c>
      <c r="J94" s="19">
        <f t="shared" si="7"/>
        <v>58180.970800000017</v>
      </c>
    </row>
    <row r="95" spans="1:27" x14ac:dyDescent="0.25">
      <c r="A95" s="9">
        <v>15</v>
      </c>
      <c r="B95" t="s">
        <v>136</v>
      </c>
      <c r="C95" s="14" t="s">
        <v>137</v>
      </c>
      <c r="D95">
        <v>65</v>
      </c>
      <c r="E95" s="19">
        <v>614.34</v>
      </c>
      <c r="F95" s="19">
        <f>214.76/D95</f>
        <v>3.3039999999999998</v>
      </c>
      <c r="G95" s="19">
        <f t="shared" si="4"/>
        <v>-39717.340000000004</v>
      </c>
      <c r="H95" s="26">
        <f t="shared" si="5"/>
        <v>-0.99462187062538654</v>
      </c>
      <c r="I95" s="19">
        <f t="shared" si="6"/>
        <v>214.76</v>
      </c>
      <c r="J95" s="19">
        <f t="shared" si="7"/>
        <v>18463.630800000014</v>
      </c>
    </row>
    <row r="96" spans="1:27" x14ac:dyDescent="0.25">
      <c r="A96" s="9">
        <v>16</v>
      </c>
      <c r="B96" t="s">
        <v>138</v>
      </c>
      <c r="C96" s="17" t="s">
        <v>175</v>
      </c>
      <c r="D96">
        <v>2.4</v>
      </c>
      <c r="E96" s="19">
        <v>680.6</v>
      </c>
      <c r="F96" s="19">
        <f>211.87/D96</f>
        <v>88.279166666666669</v>
      </c>
      <c r="G96" s="19">
        <f t="shared" si="4"/>
        <v>-1421.57</v>
      </c>
      <c r="H96" s="26">
        <f t="shared" si="5"/>
        <v>-0.87029214418650214</v>
      </c>
      <c r="I96" s="19">
        <f t="shared" si="6"/>
        <v>211.87</v>
      </c>
      <c r="J96" s="19">
        <f t="shared" si="7"/>
        <v>17042.060800000014</v>
      </c>
    </row>
    <row r="97" spans="1:10" x14ac:dyDescent="0.25">
      <c r="A97" s="9">
        <v>17</v>
      </c>
      <c r="B97" t="s">
        <v>139</v>
      </c>
      <c r="C97" s="17" t="s">
        <v>175</v>
      </c>
      <c r="D97">
        <v>4.26</v>
      </c>
      <c r="E97" s="19">
        <v>15.53</v>
      </c>
      <c r="F97" s="19">
        <v>69.040000000000006</v>
      </c>
      <c r="G97" s="19">
        <f t="shared" si="4"/>
        <v>227.95260000000002</v>
      </c>
      <c r="H97" s="26">
        <f t="shared" si="5"/>
        <v>3.4455891822279465</v>
      </c>
      <c r="I97" s="19">
        <f t="shared" si="6"/>
        <v>294.11040000000003</v>
      </c>
      <c r="J97" s="19">
        <f t="shared" si="7"/>
        <v>17270.013400000014</v>
      </c>
    </row>
    <row r="98" spans="1:10" x14ac:dyDescent="0.25">
      <c r="A98" s="9">
        <v>18</v>
      </c>
      <c r="B98" t="s">
        <v>140</v>
      </c>
      <c r="C98" s="17" t="s">
        <v>175</v>
      </c>
      <c r="D98">
        <v>2.13</v>
      </c>
      <c r="E98" s="19">
        <v>17.059999999999999</v>
      </c>
      <c r="F98" s="19">
        <v>33.200000000000003</v>
      </c>
      <c r="G98" s="19">
        <f t="shared" si="4"/>
        <v>34.378200000000007</v>
      </c>
      <c r="H98" s="26">
        <f t="shared" si="5"/>
        <v>0.94607268464243877</v>
      </c>
      <c r="I98" s="19">
        <f t="shared" si="6"/>
        <v>70.716000000000008</v>
      </c>
      <c r="J98" s="19">
        <f t="shared" si="7"/>
        <v>17304.391600000014</v>
      </c>
    </row>
    <row r="99" spans="1:10" s="19" customFormat="1" x14ac:dyDescent="0.25">
      <c r="A99" s="9">
        <v>19</v>
      </c>
      <c r="B99" t="s">
        <v>141</v>
      </c>
      <c r="C99" s="17" t="s">
        <v>175</v>
      </c>
      <c r="D99">
        <v>0.81</v>
      </c>
      <c r="E99" s="19">
        <v>3265.82</v>
      </c>
      <c r="F99" s="19">
        <v>2629.58</v>
      </c>
      <c r="G99" s="19">
        <f t="shared" si="4"/>
        <v>-515.35440000000017</v>
      </c>
      <c r="H99" s="26">
        <f t="shared" si="5"/>
        <v>-0.19481784054234474</v>
      </c>
      <c r="I99" s="19">
        <f t="shared" si="6"/>
        <v>2129.9598000000001</v>
      </c>
      <c r="J99" s="19">
        <f t="shared" si="7"/>
        <v>16789.037200000013</v>
      </c>
    </row>
    <row r="100" spans="1:10" s="19" customFormat="1" x14ac:dyDescent="0.25">
      <c r="A100" s="9">
        <v>20</v>
      </c>
      <c r="C100" s="14"/>
      <c r="G100" s="19">
        <f t="shared" si="4"/>
        <v>0</v>
      </c>
      <c r="H100" s="26" t="str">
        <f t="shared" si="5"/>
        <v>/</v>
      </c>
      <c r="I100" s="19">
        <f t="shared" si="6"/>
        <v>0</v>
      </c>
      <c r="J100" s="19">
        <f t="shared" si="7"/>
        <v>16789.037200000013</v>
      </c>
    </row>
    <row r="101" spans="1:10" s="19" customFormat="1" x14ac:dyDescent="0.25">
      <c r="A101" s="9">
        <v>21</v>
      </c>
      <c r="C101" s="14"/>
      <c r="G101" s="19">
        <f t="shared" si="4"/>
        <v>0</v>
      </c>
      <c r="H101" s="26" t="str">
        <f t="shared" si="5"/>
        <v>/</v>
      </c>
      <c r="I101" s="19">
        <f t="shared" si="6"/>
        <v>0</v>
      </c>
      <c r="J101" s="19">
        <f t="shared" si="7"/>
        <v>16789.037200000013</v>
      </c>
    </row>
    <row r="102" spans="1:10" s="19" customFormat="1" x14ac:dyDescent="0.25">
      <c r="A102" s="9">
        <v>22</v>
      </c>
      <c r="C102" s="14"/>
      <c r="G102" s="19">
        <f t="shared" si="4"/>
        <v>0</v>
      </c>
      <c r="H102" s="26" t="str">
        <f t="shared" si="5"/>
        <v>/</v>
      </c>
      <c r="I102" s="19">
        <f t="shared" si="6"/>
        <v>0</v>
      </c>
      <c r="J102" s="19">
        <f t="shared" si="7"/>
        <v>16789.037200000013</v>
      </c>
    </row>
    <row r="103" spans="1:10" s="19" customFormat="1" x14ac:dyDescent="0.25">
      <c r="A103" s="9">
        <v>23</v>
      </c>
      <c r="C103" s="14"/>
      <c r="G103" s="19">
        <f t="shared" si="4"/>
        <v>0</v>
      </c>
      <c r="H103" s="26" t="str">
        <f t="shared" si="5"/>
        <v>/</v>
      </c>
      <c r="I103" s="19">
        <f t="shared" si="6"/>
        <v>0</v>
      </c>
      <c r="J103" s="19">
        <f t="shared" si="7"/>
        <v>16789.037200000013</v>
      </c>
    </row>
    <row r="104" spans="1:10" s="19" customFormat="1" x14ac:dyDescent="0.25">
      <c r="A104" s="9">
        <v>24</v>
      </c>
      <c r="C104" s="14"/>
      <c r="G104" s="19">
        <f t="shared" si="4"/>
        <v>0</v>
      </c>
      <c r="H104" s="26" t="str">
        <f t="shared" si="5"/>
        <v>/</v>
      </c>
      <c r="I104" s="19">
        <f t="shared" si="6"/>
        <v>0</v>
      </c>
      <c r="J104" s="19">
        <f t="shared" si="7"/>
        <v>16789.037200000013</v>
      </c>
    </row>
    <row r="105" spans="1:10" s="19" customFormat="1" x14ac:dyDescent="0.25">
      <c r="A105" s="9">
        <v>25</v>
      </c>
      <c r="C105" s="14"/>
      <c r="G105" s="19">
        <f t="shared" si="4"/>
        <v>0</v>
      </c>
      <c r="H105" s="26" t="str">
        <f t="shared" si="5"/>
        <v>/</v>
      </c>
      <c r="I105" s="19">
        <f t="shared" si="6"/>
        <v>0</v>
      </c>
      <c r="J105" s="19">
        <f t="shared" si="7"/>
        <v>16789.037200000013</v>
      </c>
    </row>
    <row r="106" spans="1:10" s="19" customFormat="1" x14ac:dyDescent="0.25">
      <c r="A106" s="9">
        <v>26</v>
      </c>
      <c r="C106" s="14"/>
      <c r="G106" s="19">
        <f t="shared" si="4"/>
        <v>0</v>
      </c>
      <c r="H106" s="26" t="str">
        <f t="shared" si="5"/>
        <v>/</v>
      </c>
      <c r="I106" s="19">
        <f t="shared" si="6"/>
        <v>0</v>
      </c>
      <c r="J106" s="19">
        <f t="shared" si="7"/>
        <v>16789.037200000013</v>
      </c>
    </row>
    <row r="107" spans="1:10" s="19" customFormat="1" x14ac:dyDescent="0.25">
      <c r="A107" s="9">
        <v>27</v>
      </c>
      <c r="C107" s="14"/>
      <c r="G107" s="19">
        <f t="shared" si="4"/>
        <v>0</v>
      </c>
      <c r="H107" s="26" t="str">
        <f t="shared" si="5"/>
        <v>/</v>
      </c>
      <c r="I107" s="19">
        <f t="shared" si="6"/>
        <v>0</v>
      </c>
      <c r="J107" s="19">
        <f t="shared" si="7"/>
        <v>16789.037200000013</v>
      </c>
    </row>
    <row r="108" spans="1:10" s="19" customFormat="1" x14ac:dyDescent="0.25">
      <c r="A108" s="9">
        <v>28</v>
      </c>
      <c r="C108" s="14"/>
      <c r="G108" s="19">
        <f t="shared" si="4"/>
        <v>0</v>
      </c>
      <c r="H108" s="26" t="str">
        <f t="shared" si="5"/>
        <v>/</v>
      </c>
      <c r="I108" s="19">
        <f t="shared" si="6"/>
        <v>0</v>
      </c>
      <c r="J108" s="19">
        <f t="shared" si="7"/>
        <v>16789.037200000013</v>
      </c>
    </row>
    <row r="109" spans="1:10" s="19" customFormat="1" x14ac:dyDescent="0.25">
      <c r="A109" s="9">
        <v>29</v>
      </c>
      <c r="C109" s="14"/>
      <c r="G109" s="19">
        <f t="shared" si="4"/>
        <v>0</v>
      </c>
      <c r="H109" s="26" t="str">
        <f t="shared" si="5"/>
        <v>/</v>
      </c>
      <c r="I109" s="19">
        <f t="shared" si="6"/>
        <v>0</v>
      </c>
      <c r="J109" s="19">
        <f t="shared" si="7"/>
        <v>16789.037200000013</v>
      </c>
    </row>
    <row r="110" spans="1:10" s="19" customFormat="1" x14ac:dyDescent="0.25">
      <c r="A110" s="9">
        <v>30</v>
      </c>
      <c r="C110" s="14"/>
      <c r="G110" s="19">
        <f t="shared" si="4"/>
        <v>0</v>
      </c>
      <c r="H110" s="26" t="str">
        <f t="shared" si="5"/>
        <v>/</v>
      </c>
      <c r="I110" s="19">
        <f t="shared" si="6"/>
        <v>0</v>
      </c>
      <c r="J110" s="19">
        <f t="shared" si="7"/>
        <v>16789.037200000013</v>
      </c>
    </row>
    <row r="111" spans="1:10" s="19" customFormat="1" x14ac:dyDescent="0.25">
      <c r="A111" s="9">
        <v>31</v>
      </c>
      <c r="C111" s="14"/>
      <c r="G111" s="19">
        <f t="shared" si="4"/>
        <v>0</v>
      </c>
      <c r="H111" s="26" t="str">
        <f t="shared" si="5"/>
        <v>/</v>
      </c>
      <c r="I111" s="19">
        <f t="shared" si="6"/>
        <v>0</v>
      </c>
      <c r="J111" s="19">
        <f t="shared" si="7"/>
        <v>16789.037200000013</v>
      </c>
    </row>
    <row r="112" spans="1:10" s="19" customFormat="1" x14ac:dyDescent="0.25">
      <c r="A112" s="9"/>
      <c r="C112" s="14"/>
    </row>
    <row r="113" spans="1:13" s="19" customFormat="1" x14ac:dyDescent="0.25">
      <c r="A113" s="9"/>
      <c r="G113" s="25" t="s">
        <v>142</v>
      </c>
      <c r="H113" s="25" t="s">
        <v>143</v>
      </c>
      <c r="I113" s="25" t="s">
        <v>144</v>
      </c>
      <c r="J113" s="25" t="s">
        <v>145</v>
      </c>
      <c r="M113" s="25"/>
    </row>
    <row r="114" spans="1:13" s="19" customFormat="1" x14ac:dyDescent="0.25">
      <c r="A114" s="11"/>
      <c r="B114" s="16"/>
      <c r="C114" s="16"/>
      <c r="D114" s="22"/>
      <c r="E114" s="22"/>
      <c r="F114" s="22"/>
      <c r="G114" s="28">
        <f>((J80+H114)/J80) - 1</f>
        <v>-2.0968542461601625E-2</v>
      </c>
      <c r="H114" s="22">
        <f>SUM(I81:I111)-J80</f>
        <v>-4517.948000000004</v>
      </c>
      <c r="I114" s="22">
        <f>SUM(I81:I111)</f>
        <v>210945.19200000001</v>
      </c>
      <c r="J114" s="22">
        <f>J111</f>
        <v>16789.037200000013</v>
      </c>
      <c r="M114" s="26"/>
    </row>
    <row r="115" spans="1:13" s="19" customFormat="1" x14ac:dyDescent="0.25">
      <c r="A115" s="9"/>
      <c r="B115" t="s">
        <v>146</v>
      </c>
    </row>
    <row r="117" spans="1:13" s="19" customFormat="1" ht="15.75" customHeight="1" thickBot="1" x14ac:dyDescent="0.3">
      <c r="A117" s="1" t="s">
        <v>7</v>
      </c>
      <c r="B117" s="2" t="s">
        <v>8</v>
      </c>
      <c r="C117" s="24" t="s">
        <v>108</v>
      </c>
      <c r="D117" s="24" t="s">
        <v>147</v>
      </c>
      <c r="E117" s="24" t="s">
        <v>148</v>
      </c>
      <c r="F117" s="24" t="s">
        <v>149</v>
      </c>
      <c r="G117" s="24" t="s">
        <v>150</v>
      </c>
      <c r="H117" s="25" t="s">
        <v>151</v>
      </c>
    </row>
    <row r="118" spans="1:13" s="19" customFormat="1" x14ac:dyDescent="0.25">
      <c r="A118" s="13"/>
      <c r="B118" s="8" t="s">
        <v>108</v>
      </c>
      <c r="C118" s="20"/>
      <c r="D118" s="20"/>
      <c r="E118" s="20"/>
      <c r="F118" s="20"/>
      <c r="G118" s="20"/>
      <c r="H118" s="20">
        <v>275021.65999999997</v>
      </c>
    </row>
    <row r="119" spans="1:13" s="19" customFormat="1" x14ac:dyDescent="0.25">
      <c r="A119" s="9">
        <v>1</v>
      </c>
      <c r="B119" t="s">
        <v>152</v>
      </c>
      <c r="C119" s="19">
        <v>91857.5</v>
      </c>
      <c r="D119" s="29">
        <v>21</v>
      </c>
      <c r="E119" s="19">
        <v>34207.51</v>
      </c>
      <c r="F119" s="19">
        <f t="shared" ref="F119:F128" si="8">G119-E119</f>
        <v>-364.51388888889051</v>
      </c>
      <c r="G119" s="19">
        <f t="shared" ref="G119:G128" si="9">IF(D119=0,C119,IF(C119&gt;0, MAX(E119-(C119/(D119*12)),0),MIN(E119-(C119/(D119*12)),0)))</f>
        <v>33842.996111111112</v>
      </c>
      <c r="H119" s="27">
        <f t="shared" ref="H119:H128" si="10">H118+F119</f>
        <v>274657.1461111111</v>
      </c>
    </row>
    <row r="120" spans="1:13" s="19" customFormat="1" x14ac:dyDescent="0.25">
      <c r="A120" s="9">
        <v>2</v>
      </c>
      <c r="B120" t="s">
        <v>153</v>
      </c>
      <c r="C120" s="19">
        <v>11275.59</v>
      </c>
      <c r="D120" s="29">
        <v>24</v>
      </c>
      <c r="E120" s="19">
        <v>61511.74</v>
      </c>
      <c r="F120" s="19">
        <f t="shared" si="8"/>
        <v>-39.151354166664532</v>
      </c>
      <c r="G120" s="19">
        <f t="shared" si="9"/>
        <v>61472.588645833333</v>
      </c>
      <c r="H120" s="27">
        <f t="shared" si="10"/>
        <v>274617.99475694442</v>
      </c>
    </row>
    <row r="121" spans="1:13" s="19" customFormat="1" x14ac:dyDescent="0.25">
      <c r="A121" s="9">
        <v>3</v>
      </c>
      <c r="B121" t="s">
        <v>154</v>
      </c>
      <c r="C121" s="19">
        <v>83183.39</v>
      </c>
      <c r="D121" s="29">
        <v>20</v>
      </c>
      <c r="E121" s="19">
        <v>16769.27</v>
      </c>
      <c r="F121" s="19">
        <f t="shared" si="8"/>
        <v>-346.59745833333363</v>
      </c>
      <c r="G121" s="19">
        <f t="shared" si="9"/>
        <v>16422.672541666667</v>
      </c>
      <c r="H121" s="27">
        <f t="shared" si="10"/>
        <v>274271.39729861106</v>
      </c>
    </row>
    <row r="122" spans="1:13" s="19" customFormat="1" x14ac:dyDescent="0.25">
      <c r="A122" s="9">
        <v>4</v>
      </c>
      <c r="B122" t="s">
        <v>155</v>
      </c>
      <c r="C122" s="19">
        <v>24163.07</v>
      </c>
      <c r="D122" s="29">
        <v>6</v>
      </c>
      <c r="E122" s="19">
        <v>6004.89</v>
      </c>
      <c r="F122" s="19">
        <f t="shared" si="8"/>
        <v>-335.59819444444474</v>
      </c>
      <c r="G122" s="19">
        <f t="shared" si="9"/>
        <v>5669.2918055555556</v>
      </c>
      <c r="H122" s="27">
        <f t="shared" si="10"/>
        <v>273935.79910416662</v>
      </c>
    </row>
    <row r="123" spans="1:13" s="19" customFormat="1" x14ac:dyDescent="0.25">
      <c r="A123" s="9">
        <v>5</v>
      </c>
      <c r="B123" t="s">
        <v>156</v>
      </c>
      <c r="C123" s="19">
        <v>48650.45</v>
      </c>
      <c r="D123" s="29">
        <v>5</v>
      </c>
      <c r="E123" s="19">
        <v>68459.13</v>
      </c>
      <c r="F123" s="19">
        <f t="shared" si="8"/>
        <v>-810.84083333333547</v>
      </c>
      <c r="G123" s="19">
        <f t="shared" si="9"/>
        <v>67648.289166666669</v>
      </c>
      <c r="H123" s="27">
        <f t="shared" si="10"/>
        <v>273124.9582708333</v>
      </c>
    </row>
    <row r="124" spans="1:13" s="19" customFormat="1" x14ac:dyDescent="0.25">
      <c r="A124" s="9">
        <v>6</v>
      </c>
      <c r="B124" t="s">
        <v>157</v>
      </c>
      <c r="C124" s="19">
        <v>53317.35</v>
      </c>
      <c r="D124" s="29">
        <v>9</v>
      </c>
      <c r="E124" s="19">
        <v>8996.1200000000008</v>
      </c>
      <c r="F124" s="19">
        <f t="shared" si="8"/>
        <v>-493.67916666666679</v>
      </c>
      <c r="G124" s="19">
        <f t="shared" si="9"/>
        <v>8502.440833333334</v>
      </c>
      <c r="H124" s="27">
        <f t="shared" si="10"/>
        <v>272631.27910416666</v>
      </c>
    </row>
    <row r="125" spans="1:13" s="19" customFormat="1" x14ac:dyDescent="0.25">
      <c r="A125" s="9">
        <v>7</v>
      </c>
      <c r="B125" t="s">
        <v>158</v>
      </c>
      <c r="C125" s="19">
        <v>47580.71</v>
      </c>
      <c r="D125" s="29">
        <v>36</v>
      </c>
      <c r="E125" s="19">
        <v>11567.24</v>
      </c>
      <c r="F125" s="19">
        <f t="shared" si="8"/>
        <v>-110.14053240740759</v>
      </c>
      <c r="G125" s="19">
        <f t="shared" si="9"/>
        <v>11457.099467592592</v>
      </c>
      <c r="H125" s="27">
        <f t="shared" si="10"/>
        <v>272521.13857175928</v>
      </c>
    </row>
    <row r="126" spans="1:13" s="19" customFormat="1" x14ac:dyDescent="0.25">
      <c r="A126" s="9">
        <v>8</v>
      </c>
      <c r="B126" t="s">
        <v>159</v>
      </c>
      <c r="C126" s="19">
        <v>52814.61</v>
      </c>
      <c r="D126" s="29">
        <v>28</v>
      </c>
      <c r="E126" s="19">
        <v>67505.759999999995</v>
      </c>
      <c r="F126" s="19">
        <f t="shared" si="8"/>
        <v>-157.18633928571944</v>
      </c>
      <c r="G126" s="19">
        <f t="shared" si="9"/>
        <v>67348.573660714275</v>
      </c>
      <c r="H126" s="27">
        <f t="shared" si="10"/>
        <v>272363.95223247353</v>
      </c>
    </row>
    <row r="127" spans="1:13" s="19" customFormat="1" x14ac:dyDescent="0.25">
      <c r="A127" s="9">
        <v>9</v>
      </c>
      <c r="D127" s="29"/>
      <c r="F127" s="19">
        <f t="shared" si="8"/>
        <v>0</v>
      </c>
      <c r="G127" s="19">
        <f t="shared" si="9"/>
        <v>0</v>
      </c>
      <c r="H127" s="27">
        <f t="shared" si="10"/>
        <v>272363.95223247353</v>
      </c>
    </row>
    <row r="128" spans="1:13" s="19" customFormat="1" x14ac:dyDescent="0.25">
      <c r="A128" s="9">
        <v>10</v>
      </c>
      <c r="D128" s="29"/>
      <c r="F128" s="19">
        <f t="shared" si="8"/>
        <v>0</v>
      </c>
      <c r="G128" s="19">
        <f t="shared" si="9"/>
        <v>0</v>
      </c>
      <c r="H128" s="27">
        <f t="shared" si="10"/>
        <v>272363.95223247353</v>
      </c>
    </row>
    <row r="129" spans="1:8" s="19" customFormat="1" x14ac:dyDescent="0.25">
      <c r="A129" s="9"/>
      <c r="H129" s="27"/>
    </row>
    <row r="130" spans="1:8" s="19" customFormat="1" x14ac:dyDescent="0.25">
      <c r="A130" s="9"/>
      <c r="E130" s="25" t="s">
        <v>142</v>
      </c>
      <c r="F130" s="25" t="s">
        <v>143</v>
      </c>
      <c r="G130" s="25" t="s">
        <v>144</v>
      </c>
      <c r="H130" s="25" t="s">
        <v>145</v>
      </c>
    </row>
    <row r="131" spans="1:8" s="19" customFormat="1" x14ac:dyDescent="0.25">
      <c r="A131" s="11"/>
      <c r="B131" s="16"/>
      <c r="C131" s="16"/>
      <c r="D131" s="22"/>
      <c r="E131" s="28">
        <f>((H118+F131)/H118) - 1</f>
        <v>-9.663630739216833E-3</v>
      </c>
      <c r="F131" s="22">
        <f>SUM(G119:G128)-H118</f>
        <v>-2657.7077675264445</v>
      </c>
      <c r="G131" s="22">
        <f>SUM(G119:G128)</f>
        <v>272363.95223247353</v>
      </c>
      <c r="H131" s="22">
        <f>H128</f>
        <v>272363.95223247353</v>
      </c>
    </row>
  </sheetData>
  <mergeCells count="11">
    <mergeCell ref="X88:Z88"/>
    <mergeCell ref="X79:Z79"/>
    <mergeCell ref="AA68:AA72"/>
    <mergeCell ref="M2:P2"/>
    <mergeCell ref="AA15:AA66"/>
    <mergeCell ref="Q2:S2"/>
    <mergeCell ref="C2:E2"/>
    <mergeCell ref="T2:V2"/>
    <mergeCell ref="J2:L2"/>
    <mergeCell ref="AA4:AA14"/>
    <mergeCell ref="F2:I2"/>
  </mergeCells>
  <phoneticPr fontId="4" type="noConversion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Juni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Oryls</dc:creator>
  <cp:lastModifiedBy>Simon Oryls</cp:lastModifiedBy>
  <dcterms:created xsi:type="dcterms:W3CDTF">2026-07-05T11:51:40Z</dcterms:created>
  <dcterms:modified xsi:type="dcterms:W3CDTF">2026-07-14T13:40:04Z</dcterms:modified>
</cp:coreProperties>
</file>